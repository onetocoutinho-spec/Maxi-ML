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âmetros" sheetId="1" state="visible" r:id="rId3"/>
    <sheet name="Operação" sheetId="2" state="visible" r:id="rId4"/>
  </sheets>
  <definedNames>
    <definedName function="false" hidden="true" localSheetId="1" name="_xlnm._FilterDatabase" vbProcedure="false">Operação!$A$4:$O$32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<sst xmlns="http://schemas.openxmlformats.org/spreadsheetml/2006/main" count="137" uniqueCount="110">
  <si>
    <t xml:space="preserve">Parâmetros da operação</t>
  </si>
  <si>
    <t xml:space="preserve">Ênio Toldos (ShopLima) — modelo da planilha markup JB</t>
  </si>
  <si>
    <t xml:space="preserve">Item</t>
  </si>
  <si>
    <t xml:space="preserve">Valor</t>
  </si>
  <si>
    <t xml:space="preserve">De onde veio</t>
  </si>
  <si>
    <t xml:space="preserve">Margem mínima do Ênio</t>
  </si>
  <si>
    <t xml:space="preserve">Piso de lucro que ele aceita. NÃO é taxa do Mercado Livre.</t>
  </si>
  <si>
    <t xml:space="preserve">Alíquota de imposto</t>
  </si>
  <si>
    <t xml:space="preserve">Informado pelo Ênio: 5% sobre o valor de venda.</t>
  </si>
  <si>
    <t xml:space="preserve">A fórmula é a do JB, sem alteração</t>
  </si>
  <si>
    <t xml:space="preserve">Lucro Líquido = (Venda + Rebate) − ((Venda + Rebate) × Taxa) − Custo − Manuseio − Frete</t>
  </si>
  <si>
    <t xml:space="preserve">Porcentagem   = Lucro Líquido ÷ (Venda + Rebate)</t>
  </si>
  <si>
    <t xml:space="preserve">Uma diferença em relação à planilha do JB</t>
  </si>
  <si>
    <t xml:space="preserve">No JB a 'Taxa da Plataforma' é um número só — 20% numa conta, 27,5% na outra.</t>
  </si>
  <si>
    <t xml:space="preserve">Aqui ela continua sendo UM número na fórmula, mas é montada por soma de duas</t>
  </si>
  <si>
    <t xml:space="preserve">parcelas visíveis: a comissão que o Mercado Livre cobra DAQUELE anúncio, medida</t>
  </si>
  <si>
    <t xml:space="preserve">uma a uma, e os 5% de imposto. Elas ficam em colunas próprias para poderem ser</t>
  </si>
  <si>
    <t xml:space="preserve">conferidas — a comissão do ML varia por categoria e vai de 10,5% a 16,5% nesta</t>
  </si>
  <si>
    <t xml:space="preserve">conta, então um número redondo esconderia 6 pontos de diferença.</t>
  </si>
  <si>
    <t xml:space="preserve">Colunas herdadas do JB que ainda estão zeradas aqui</t>
  </si>
  <si>
    <t xml:space="preserve">Rebate ..... subsídio que a plataforma devolve. Entra somado à venda, e a taxa</t>
  </si>
  <si>
    <t xml:space="preserve">             incide sobre o total. Se o Ênio recebe rebate, preencha.</t>
  </si>
  <si>
    <t xml:space="preserve">Manuseio ... custo de separar e embalar o pedido. Preencha se houver.</t>
  </si>
  <si>
    <t xml:space="preserve">Frete ...... quem paga é o Ênio nos 28 anúncios (todos com frete grátis).</t>
  </si>
  <si>
    <t xml:space="preserve">             AINDA NÃO MEDIDO — é a coluna amarela.</t>
  </si>
  <si>
    <t xml:space="preserve">Enquanto Frete e Manuseio estiverem zerados, todo lucro desta planilha está OTIMISTA.</t>
  </si>
  <si>
    <t xml:space="preserve">Operação — lucro por anúncio</t>
  </si>
  <si>
    <t xml:space="preserve">Mesma conta da planilha markup JB. Preencha Rebate, Manuseio e Frete; o resto se recalcula.</t>
  </si>
  <si>
    <t xml:space="preserve">Conta</t>
  </si>
  <si>
    <t xml:space="preserve">MLB</t>
  </si>
  <si>
    <t xml:space="preserve">Anúncio</t>
  </si>
  <si>
    <t xml:space="preserve">Valor de Venda</t>
  </si>
  <si>
    <t xml:space="preserve">Custo do Produto</t>
  </si>
  <si>
    <t xml:space="preserve">Comissão ML (%)</t>
  </si>
  <si>
    <t xml:space="preserve">Imposto (%)</t>
  </si>
  <si>
    <t xml:space="preserve">Taxa da Plataforma (%)</t>
  </si>
  <si>
    <t xml:space="preserve">Rebate</t>
  </si>
  <si>
    <t xml:space="preserve">Manuseio</t>
  </si>
  <si>
    <t xml:space="preserve">Frete</t>
  </si>
  <si>
    <t xml:space="preserve">Lucro Líquido</t>
  </si>
  <si>
    <t xml:space="preserve">Porcentagem</t>
  </si>
  <si>
    <t xml:space="preserve">Venda mínima p/ 12%</t>
  </si>
  <si>
    <t xml:space="preserve">Situação</t>
  </si>
  <si>
    <t xml:space="preserve">enio</t>
  </si>
  <si>
    <t xml:space="preserve">MLB4719594491</t>
  </si>
  <si>
    <t xml:space="preserve">Toldo Policarbonato 155x100 (madeira)</t>
  </si>
  <si>
    <t xml:space="preserve">MLB4722895661</t>
  </si>
  <si>
    <t xml:space="preserve">Toldo Policarbonato 380x100 (madeira)</t>
  </si>
  <si>
    <t xml:space="preserve">MLB6864833186</t>
  </si>
  <si>
    <t xml:space="preserve">Toldo Policarbonato 305x100 (madeira)</t>
  </si>
  <si>
    <t xml:space="preserve">MLB4693629595</t>
  </si>
  <si>
    <t xml:space="preserve">Toldo Policarbonato 230x100 (madeira)</t>
  </si>
  <si>
    <t xml:space="preserve">MLB4728109795</t>
  </si>
  <si>
    <t xml:space="preserve">Toldo Metal 220x70</t>
  </si>
  <si>
    <t xml:space="preserve">MLB4728168353</t>
  </si>
  <si>
    <t xml:space="preserve">Toldo Metal 290x70</t>
  </si>
  <si>
    <t xml:space="preserve">MLB6879345124</t>
  </si>
  <si>
    <t xml:space="preserve">Toldo Metal 145x70</t>
  </si>
  <si>
    <t xml:space="preserve">MLB4728439145</t>
  </si>
  <si>
    <t xml:space="preserve">Toldo Metal 365x70</t>
  </si>
  <si>
    <t xml:space="preserve">MLB4951921009</t>
  </si>
  <si>
    <t xml:space="preserve">Rack New Aurora Pérola</t>
  </si>
  <si>
    <t xml:space="preserve">MLB6887673448</t>
  </si>
  <si>
    <t xml:space="preserve">Toldo 230x100 Madeira Bronze</t>
  </si>
  <si>
    <t xml:space="preserve">MLB4731310629</t>
  </si>
  <si>
    <t xml:space="preserve">Toldo Shoplima 230x100 Preto</t>
  </si>
  <si>
    <t xml:space="preserve">MLB6926100860</t>
  </si>
  <si>
    <t xml:space="preserve">Toldo 155x100 Madeira Bronze</t>
  </si>
  <si>
    <t xml:space="preserve">MLB6886568462</t>
  </si>
  <si>
    <t xml:space="preserve">Toldo 155x100 Madeira Fumê</t>
  </si>
  <si>
    <t xml:space="preserve">MLB6920349886</t>
  </si>
  <si>
    <t xml:space="preserve">Toldo 305x100 Madeira Bronze</t>
  </si>
  <si>
    <t xml:space="preserve">MLB4758802013</t>
  </si>
  <si>
    <t xml:space="preserve">Toldo 305x100 Madeira Fumê</t>
  </si>
  <si>
    <t xml:space="preserve">MLB6927477742</t>
  </si>
  <si>
    <t xml:space="preserve">Toldo 380x100 Madeira Fumê</t>
  </si>
  <si>
    <t xml:space="preserve">MLB4752676077</t>
  </si>
  <si>
    <t xml:space="preserve">Toldo 380x100 Madeira Bronze</t>
  </si>
  <si>
    <t xml:space="preserve">MLB6953635682</t>
  </si>
  <si>
    <t xml:space="preserve">Toldo Sunny 365x70 Fumê</t>
  </si>
  <si>
    <t xml:space="preserve">MLB6953636662</t>
  </si>
  <si>
    <t xml:space="preserve">Toldo Sunny 365x70 Bronze</t>
  </si>
  <si>
    <t xml:space="preserve">MLB6953634094</t>
  </si>
  <si>
    <t xml:space="preserve">Toldo Sunny 290x70 Bronze</t>
  </si>
  <si>
    <t xml:space="preserve">MLB6953644418</t>
  </si>
  <si>
    <t xml:space="preserve">Toldo Policarbonato Fumê 290x70</t>
  </si>
  <si>
    <t xml:space="preserve">MLB4770364733</t>
  </si>
  <si>
    <t xml:space="preserve">Toldo Sunny 220x70 Fumê</t>
  </si>
  <si>
    <t xml:space="preserve">MLB6971791596</t>
  </si>
  <si>
    <t xml:space="preserve">Toldo Sunny 220x70 Bronze</t>
  </si>
  <si>
    <t xml:space="preserve">MLB4770294087</t>
  </si>
  <si>
    <t xml:space="preserve">Toldo Sunny 145x70 Fumê</t>
  </si>
  <si>
    <t xml:space="preserve">MLB4770425325</t>
  </si>
  <si>
    <t xml:space="preserve">Toldo Sunny 145x70 Bronze</t>
  </si>
  <si>
    <t xml:space="preserve">MLB4793527781</t>
  </si>
  <si>
    <t xml:space="preserve">Mesa Dobrável 70x70 Preta</t>
  </si>
  <si>
    <t xml:space="preserve">MLB6989353592</t>
  </si>
  <si>
    <t xml:space="preserve">Mesa Bistrô Dobrável Tabaco</t>
  </si>
  <si>
    <t xml:space="preserve">MLB4793450555</t>
  </si>
  <si>
    <t xml:space="preserve">Mesa Alta Bistrô Tabaco</t>
  </si>
  <si>
    <t xml:space="preserve">TOTAL / MÉDIA</t>
  </si>
  <si>
    <t xml:space="preserve">Legenda</t>
  </si>
  <si>
    <t xml:space="preserve">Azul</t>
  </si>
  <si>
    <t xml:space="preserve">medido ou informado — troque só se souber que mudou</t>
  </si>
  <si>
    <t xml:space="preserve">Amarelo</t>
  </si>
  <si>
    <t xml:space="preserve">PARA PREENCHER — Rebate, Manuseio e Frete</t>
  </si>
  <si>
    <t xml:space="preserve">Preto</t>
  </si>
  <si>
    <t xml:space="preserve">fórmula, não edite</t>
  </si>
  <si>
    <t xml:space="preserve">Verde</t>
  </si>
  <si>
    <t xml:space="preserve">puxado da aba Parâmetros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</si>
</sst>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;[RED]\-0.0%;\—"/>
    <numFmt numFmtId="166" formatCode="&quot;R$ &quot;#,##0.00;[RED]&quot;-R$ &quot;#,##0.00;\—"/>
    <numFmt numFmtId="167" formatCode="0.0\%;[RED]\-0.0\%;\—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Consolas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double">
        <color rgb="FF1F386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5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0.12</v>
      </c>
      <c r="C5" s="2" t="s">
        <v>6</v>
      </c>
    </row>
    <row r="6" customFormat="false" ht="15" hidden="false" customHeight="false" outlineLevel="0" collapsed="false">
      <c r="A6" s="4" t="s">
        <v>7</v>
      </c>
      <c r="B6" s="5" t="n">
        <v>0.05</v>
      </c>
      <c r="C6" s="2" t="s">
        <v>8</v>
      </c>
    </row>
    <row r="8" customFormat="false" ht="15" hidden="false" customHeight="false" outlineLevel="0" collapsed="false">
      <c r="A8" s="6" t="s">
        <v>9</v>
      </c>
    </row>
    <row r="9" customFormat="false" ht="15" hidden="false" customHeight="false" outlineLevel="0" collapsed="false">
      <c r="A9" s="7" t="s">
        <v>10</v>
      </c>
    </row>
    <row r="10" customFormat="false" ht="15" hidden="false" customHeight="false" outlineLevel="0" collapsed="false">
      <c r="A10" s="7" t="s">
        <v>11</v>
      </c>
    </row>
    <row r="12" customFormat="false" ht="15" hidden="false" customHeight="false" outlineLevel="0" collapsed="false">
      <c r="A12" s="6" t="s">
        <v>12</v>
      </c>
    </row>
    <row r="13" customFormat="false" ht="15" hidden="false" customHeight="false" outlineLevel="0" collapsed="false">
      <c r="A13" s="2" t="s">
        <v>13</v>
      </c>
    </row>
    <row r="14" customFormat="false" ht="15" hidden="false" customHeight="false" outlineLevel="0" collapsed="false">
      <c r="A14" s="2" t="s">
        <v>14</v>
      </c>
    </row>
    <row r="15" customFormat="false" ht="15" hidden="false" customHeight="false" outlineLevel="0" collapsed="false">
      <c r="A15" s="2" t="s">
        <v>15</v>
      </c>
    </row>
    <row r="16" customFormat="false" ht="15" hidden="false" customHeight="false" outlineLevel="0" collapsed="false">
      <c r="A16" s="2" t="s">
        <v>16</v>
      </c>
    </row>
    <row r="17" customFormat="false" ht="15" hidden="false" customHeight="false" outlineLevel="0" collapsed="false">
      <c r="A17" s="2" t="s">
        <v>17</v>
      </c>
    </row>
    <row r="18" customFormat="false" ht="15" hidden="false" customHeight="false" outlineLevel="0" collapsed="false">
      <c r="A18" s="2" t="s">
        <v>18</v>
      </c>
    </row>
    <row r="20" customFormat="false" ht="15" hidden="false" customHeight="false" outlineLevel="0" collapsed="false">
      <c r="A20" s="6" t="s">
        <v>19</v>
      </c>
    </row>
    <row r="21" customFormat="false" ht="15" hidden="false" customHeight="false" outlineLevel="0" collapsed="false">
      <c r="A21" s="2" t="s">
        <v>20</v>
      </c>
    </row>
    <row r="22" customFormat="false" ht="15" hidden="false" customHeight="false" outlineLevel="0" collapsed="false">
      <c r="A22" s="2" t="s">
        <v>21</v>
      </c>
    </row>
    <row r="23" customFormat="false" ht="15" hidden="false" customHeight="false" outlineLevel="0" collapsed="false">
      <c r="A23" s="2" t="s">
        <v>22</v>
      </c>
    </row>
    <row r="24" customFormat="false" ht="15" hidden="false" customHeight="false" outlineLevel="0" collapsed="false">
      <c r="A24" s="2" t="s">
        <v>23</v>
      </c>
    </row>
    <row r="25" customFormat="false" ht="15" hidden="false" customHeight="false" outlineLevel="0" collapsed="false">
      <c r="A25" s="2" t="s">
        <v>24</v>
      </c>
    </row>
    <row r="27" customFormat="false" ht="15" hidden="false" customHeight="false" outlineLevel="0" collapsed="false">
      <c r="A27" s="8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32"/>
    <col collapsed="false" customWidth="true" hidden="false" outlineLevel="0" max="5" min="4" style="0" width="13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11" min="9" style="0" width="10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14"/>
    <col collapsed="false" customWidth="true" hidden="false" outlineLevel="0" max="15" min="15" style="0" width="13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4" customFormat="false" ht="31.5" hidden="false" customHeight="true" outlineLevel="0" collapsed="false">
      <c r="A4" s="9" t="s">
        <v>28</v>
      </c>
      <c r="B4" s="9" t="s">
        <v>29</v>
      </c>
      <c r="C4" s="9" t="s">
        <v>30</v>
      </c>
      <c r="D4" s="9" t="s">
        <v>31</v>
      </c>
      <c r="E4" s="9" t="s">
        <v>32</v>
      </c>
      <c r="F4" s="9" t="s">
        <v>33</v>
      </c>
      <c r="G4" s="9" t="s">
        <v>34</v>
      </c>
      <c r="H4" s="9" t="s">
        <v>35</v>
      </c>
      <c r="I4" s="9" t="s">
        <v>36</v>
      </c>
      <c r="J4" s="9" t="s">
        <v>37</v>
      </c>
      <c r="K4" s="9" t="s">
        <v>38</v>
      </c>
      <c r="L4" s="9" t="s">
        <v>39</v>
      </c>
      <c r="M4" s="9" t="s">
        <v>40</v>
      </c>
      <c r="N4" s="9" t="s">
        <v>41</v>
      </c>
      <c r="O4" s="9" t="s">
        <v>42</v>
      </c>
    </row>
    <row r="5" customFormat="false" ht="15" hidden="false" customHeight="false" outlineLevel="0" collapsed="false">
      <c r="A5" s="10" t="s">
        <v>43</v>
      </c>
      <c r="B5" s="10" t="s">
        <v>44</v>
      </c>
      <c r="C5" s="10" t="s">
        <v>45</v>
      </c>
      <c r="D5" s="11" t="n">
        <v>619.99</v>
      </c>
      <c r="E5" s="11" t="n">
        <v>288</v>
      </c>
      <c r="F5" s="12" t="n">
        <v>0.165</v>
      </c>
      <c r="G5" s="13" t="n">
        <f aca="false">Parâmetros!$B$6</f>
        <v>0.05</v>
      </c>
      <c r="H5" s="14" t="n">
        <f aca="false">F5+G5</f>
        <v>0.215</v>
      </c>
      <c r="I5" s="15" t="n">
        <v>0</v>
      </c>
      <c r="J5" s="15" t="n">
        <v>0</v>
      </c>
      <c r="K5" s="15" t="n">
        <v>0</v>
      </c>
      <c r="L5" s="16" t="n">
        <f aca="false">(D5+I5)-((D5+I5)*H5)-E5-J5-K5</f>
        <v>198.69215</v>
      </c>
      <c r="M5" s="17" t="n">
        <f aca="false">IFERROR(L5*100/(D5+I5),"")</f>
        <v>32.0476378651269</v>
      </c>
      <c r="N5" s="18" t="n">
        <f aca="false">IFERROR((E5+J5+K5)/(1-H5-Parâmetros!$B$5)-I5,"")</f>
        <v>433.082706766917</v>
      </c>
      <c r="O5" s="19" t="str">
        <f aca="false">IF(L5&lt;0,"PREJUÍZO",IF(D5&lt;N5,"ABAIXO DO PISO","OK"))</f>
        <v>OK</v>
      </c>
    </row>
    <row r="6" customFormat="false" ht="15" hidden="false" customHeight="false" outlineLevel="0" collapsed="false">
      <c r="A6" s="20" t="s">
        <v>43</v>
      </c>
      <c r="B6" s="20" t="s">
        <v>46</v>
      </c>
      <c r="C6" s="20" t="s">
        <v>47</v>
      </c>
      <c r="D6" s="21" t="n">
        <v>1490.99</v>
      </c>
      <c r="E6" s="21" t="n">
        <v>639</v>
      </c>
      <c r="F6" s="22" t="n">
        <v>0.165</v>
      </c>
      <c r="G6" s="23" t="n">
        <f aca="false">Parâmetros!$B$6</f>
        <v>0.05</v>
      </c>
      <c r="H6" s="24" t="n">
        <f aca="false">F6+G6</f>
        <v>0.215</v>
      </c>
      <c r="I6" s="15" t="n">
        <v>0</v>
      </c>
      <c r="J6" s="15" t="n">
        <v>0</v>
      </c>
      <c r="K6" s="15" t="n">
        <v>0</v>
      </c>
      <c r="L6" s="25" t="n">
        <f aca="false">(D6+I6)-((D6+I6)*H6)-E6-J6-K6</f>
        <v>531.42715</v>
      </c>
      <c r="M6" s="26" t="n">
        <f aca="false">IFERROR(L6*100/(D6+I6),"")</f>
        <v>35.6425697020101</v>
      </c>
      <c r="N6" s="27" t="n">
        <f aca="false">IFERROR((E6+J6+K6)/(1-H6-Parâmetros!$B$5)-I6,"")</f>
        <v>960.902255639098</v>
      </c>
      <c r="O6" s="28" t="str">
        <f aca="false">IF(L6&lt;0,"PREJUÍZO",IF(D6&lt;N6,"ABAIXO DO PISO","OK"))</f>
        <v>OK</v>
      </c>
    </row>
    <row r="7" customFormat="false" ht="15" hidden="false" customHeight="false" outlineLevel="0" collapsed="false">
      <c r="A7" s="10" t="s">
        <v>43</v>
      </c>
      <c r="B7" s="10" t="s">
        <v>48</v>
      </c>
      <c r="C7" s="10" t="s">
        <v>49</v>
      </c>
      <c r="D7" s="11" t="n">
        <v>1380.99</v>
      </c>
      <c r="E7" s="11" t="n">
        <v>521</v>
      </c>
      <c r="F7" s="12" t="n">
        <v>0.165</v>
      </c>
      <c r="G7" s="13" t="n">
        <f aca="false">Parâmetros!$B$6</f>
        <v>0.05</v>
      </c>
      <c r="H7" s="14" t="n">
        <f aca="false">F7+G7</f>
        <v>0.215</v>
      </c>
      <c r="I7" s="15" t="n">
        <v>0</v>
      </c>
      <c r="J7" s="15" t="n">
        <v>0</v>
      </c>
      <c r="K7" s="15" t="n">
        <v>0</v>
      </c>
      <c r="L7" s="16" t="n">
        <f aca="false">(D7+I7)-((D7+I7)*H7)-E7-J7-K7</f>
        <v>563.07715</v>
      </c>
      <c r="M7" s="17" t="n">
        <f aca="false">IFERROR(L7*100/(D7+I7),"")</f>
        <v>40.7734415165932</v>
      </c>
      <c r="N7" s="18" t="n">
        <f aca="false">IFERROR((E7+J7+K7)/(1-H7-Parâmetros!$B$5)-I7,"")</f>
        <v>783.458646616541</v>
      </c>
      <c r="O7" s="19" t="str">
        <f aca="false">IF(L7&lt;0,"PREJUÍZO",IF(D7&lt;N7,"ABAIXO DO PISO","OK"))</f>
        <v>OK</v>
      </c>
    </row>
    <row r="8" customFormat="false" ht="15" hidden="false" customHeight="false" outlineLevel="0" collapsed="false">
      <c r="A8" s="20" t="s">
        <v>43</v>
      </c>
      <c r="B8" s="20" t="s">
        <v>50</v>
      </c>
      <c r="C8" s="20" t="s">
        <v>51</v>
      </c>
      <c r="D8" s="21" t="n">
        <v>890.99</v>
      </c>
      <c r="E8" s="21" t="n">
        <v>408</v>
      </c>
      <c r="F8" s="22" t="n">
        <v>0.165</v>
      </c>
      <c r="G8" s="23" t="n">
        <f aca="false">Parâmetros!$B$6</f>
        <v>0.05</v>
      </c>
      <c r="H8" s="24" t="n">
        <f aca="false">F8+G8</f>
        <v>0.215</v>
      </c>
      <c r="I8" s="15" t="n">
        <v>0</v>
      </c>
      <c r="J8" s="15" t="n">
        <v>0</v>
      </c>
      <c r="K8" s="15" t="n">
        <v>0</v>
      </c>
      <c r="L8" s="25" t="n">
        <f aca="false">(D8+I8)-((D8+I8)*H8)-E8-J8-K8</f>
        <v>291.42715</v>
      </c>
      <c r="M8" s="26" t="n">
        <f aca="false">IFERROR(L8*100/(D8+I8),"")</f>
        <v>32.7082402720569</v>
      </c>
      <c r="N8" s="27" t="n">
        <f aca="false">IFERROR((E8+J8+K8)/(1-H8-Parâmetros!$B$5)-I8,"")</f>
        <v>613.533834586466</v>
      </c>
      <c r="O8" s="28" t="str">
        <f aca="false">IF(L8&lt;0,"PREJUÍZO",IF(D8&lt;N8,"ABAIXO DO PISO","OK"))</f>
        <v>OK</v>
      </c>
    </row>
    <row r="9" customFormat="false" ht="15" hidden="false" customHeight="false" outlineLevel="0" collapsed="false">
      <c r="A9" s="10" t="s">
        <v>43</v>
      </c>
      <c r="B9" s="10" t="s">
        <v>52</v>
      </c>
      <c r="C9" s="10" t="s">
        <v>53</v>
      </c>
      <c r="D9" s="11" t="n">
        <v>437.99</v>
      </c>
      <c r="E9" s="11" t="n">
        <v>258</v>
      </c>
      <c r="F9" s="12" t="n">
        <v>0.135</v>
      </c>
      <c r="G9" s="13" t="n">
        <f aca="false">Parâmetros!$B$6</f>
        <v>0.05</v>
      </c>
      <c r="H9" s="14" t="n">
        <f aca="false">F9+G9</f>
        <v>0.185</v>
      </c>
      <c r="I9" s="15" t="n">
        <v>0</v>
      </c>
      <c r="J9" s="15" t="n">
        <v>0</v>
      </c>
      <c r="K9" s="15" t="n">
        <v>0</v>
      </c>
      <c r="L9" s="16" t="n">
        <f aca="false">(D9+I9)-((D9+I9)*H9)-E9-J9-K9</f>
        <v>98.96185</v>
      </c>
      <c r="M9" s="17" t="n">
        <f aca="false">IFERROR(L9*100/(D9+I9),"")</f>
        <v>22.5945455375694</v>
      </c>
      <c r="N9" s="18" t="n">
        <f aca="false">IFERROR((E9+J9+K9)/(1-H9-Parâmetros!$B$5)-I9,"")</f>
        <v>371.223021582734</v>
      </c>
      <c r="O9" s="19" t="str">
        <f aca="false">IF(L9&lt;0,"PREJUÍZO",IF(D9&lt;N9,"ABAIXO DO PISO","OK"))</f>
        <v>OK</v>
      </c>
    </row>
    <row r="10" customFormat="false" ht="15" hidden="false" customHeight="false" outlineLevel="0" collapsed="false">
      <c r="A10" s="20" t="s">
        <v>43</v>
      </c>
      <c r="B10" s="20" t="s">
        <v>54</v>
      </c>
      <c r="C10" s="20" t="s">
        <v>55</v>
      </c>
      <c r="D10" s="21" t="n">
        <v>403.99</v>
      </c>
      <c r="E10" s="21" t="n">
        <v>311</v>
      </c>
      <c r="F10" s="22" t="n">
        <v>0.135</v>
      </c>
      <c r="G10" s="23" t="n">
        <f aca="false">Parâmetros!$B$6</f>
        <v>0.05</v>
      </c>
      <c r="H10" s="24" t="n">
        <f aca="false">F10+G10</f>
        <v>0.185</v>
      </c>
      <c r="I10" s="15" t="n">
        <v>0</v>
      </c>
      <c r="J10" s="15" t="n">
        <v>0</v>
      </c>
      <c r="K10" s="15" t="n">
        <v>0</v>
      </c>
      <c r="L10" s="25" t="n">
        <f aca="false">(D10+I10)-((D10+I10)*H10)-E10-J10-K10</f>
        <v>18.25185</v>
      </c>
      <c r="M10" s="26" t="n">
        <f aca="false">IFERROR(L10*100/(D10+I10),"")</f>
        <v>4.5178964825862</v>
      </c>
      <c r="N10" s="27" t="n">
        <f aca="false">IFERROR((E10+J10+K10)/(1-H10-Parâmetros!$B$5)-I10,"")</f>
        <v>447.482014388489</v>
      </c>
      <c r="O10" s="28" t="str">
        <f aca="false">IF(L10&lt;0,"PREJUÍZO",IF(D10&lt;N10,"ABAIXO DO PISO","OK"))</f>
        <v>ABAIXO DO PISO</v>
      </c>
    </row>
    <row r="11" customFormat="false" ht="15" hidden="false" customHeight="false" outlineLevel="0" collapsed="false">
      <c r="A11" s="10" t="s">
        <v>43</v>
      </c>
      <c r="B11" s="10" t="s">
        <v>56</v>
      </c>
      <c r="C11" s="10" t="s">
        <v>57</v>
      </c>
      <c r="D11" s="11" t="n">
        <v>280.99</v>
      </c>
      <c r="E11" s="11" t="n">
        <v>198</v>
      </c>
      <c r="F11" s="12" t="n">
        <v>0.135</v>
      </c>
      <c r="G11" s="13" t="n">
        <f aca="false">Parâmetros!$B$6</f>
        <v>0.05</v>
      </c>
      <c r="H11" s="14" t="n">
        <f aca="false">F11+G11</f>
        <v>0.185</v>
      </c>
      <c r="I11" s="15" t="n">
        <v>0</v>
      </c>
      <c r="J11" s="15" t="n">
        <v>0</v>
      </c>
      <c r="K11" s="15" t="n">
        <v>0</v>
      </c>
      <c r="L11" s="16" t="n">
        <f aca="false">(D11+I11)-((D11+I11)*H11)-E11-J11-K11</f>
        <v>31.00685</v>
      </c>
      <c r="M11" s="17" t="n">
        <f aca="false">IFERROR(L11*100/(D11+I11),"")</f>
        <v>11.0348588917755</v>
      </c>
      <c r="N11" s="18" t="n">
        <f aca="false">IFERROR((E11+J11+K11)/(1-H11-Parâmetros!$B$5)-I11,"")</f>
        <v>284.892086330935</v>
      </c>
      <c r="O11" s="19" t="str">
        <f aca="false">IF(L11&lt;0,"PREJUÍZO",IF(D11&lt;N11,"ABAIXO DO PISO","OK"))</f>
        <v>ABAIXO DO PISO</v>
      </c>
    </row>
    <row r="12" customFormat="false" ht="15" hidden="false" customHeight="false" outlineLevel="0" collapsed="false">
      <c r="A12" s="20" t="s">
        <v>43</v>
      </c>
      <c r="B12" s="20" t="s">
        <v>58</v>
      </c>
      <c r="C12" s="20" t="s">
        <v>59</v>
      </c>
      <c r="D12" s="21" t="n">
        <v>476.99</v>
      </c>
      <c r="E12" s="21" t="n">
        <v>368</v>
      </c>
      <c r="F12" s="22" t="n">
        <v>0.135</v>
      </c>
      <c r="G12" s="23" t="n">
        <f aca="false">Parâmetros!$B$6</f>
        <v>0.05</v>
      </c>
      <c r="H12" s="24" t="n">
        <f aca="false">F12+G12</f>
        <v>0.185</v>
      </c>
      <c r="I12" s="15" t="n">
        <v>0</v>
      </c>
      <c r="J12" s="15" t="n">
        <v>0</v>
      </c>
      <c r="K12" s="15" t="n">
        <v>0</v>
      </c>
      <c r="L12" s="25" t="n">
        <f aca="false">(D12+I12)-((D12+I12)*H12)-E12-J12-K12</f>
        <v>20.74685</v>
      </c>
      <c r="M12" s="26" t="n">
        <f aca="false">IFERROR(L12*100/(D12+I12),"")</f>
        <v>4.34953562967777</v>
      </c>
      <c r="N12" s="27" t="n">
        <f aca="false">IFERROR((E12+J12+K12)/(1-H12-Parâmetros!$B$5)-I12,"")</f>
        <v>529.496402877698</v>
      </c>
      <c r="O12" s="28" t="str">
        <f aca="false">IF(L12&lt;0,"PREJUÍZO",IF(D12&lt;N12,"ABAIXO DO PISO","OK"))</f>
        <v>ABAIXO DO PISO</v>
      </c>
    </row>
    <row r="13" customFormat="false" ht="15" hidden="false" customHeight="false" outlineLevel="0" collapsed="false">
      <c r="A13" s="10" t="s">
        <v>43</v>
      </c>
      <c r="B13" s="10" t="s">
        <v>60</v>
      </c>
      <c r="C13" s="10" t="s">
        <v>61</v>
      </c>
      <c r="D13" s="11" t="n">
        <v>897.99</v>
      </c>
      <c r="E13" s="11" t="n">
        <v>274</v>
      </c>
      <c r="F13" s="12" t="n">
        <v>0.115</v>
      </c>
      <c r="G13" s="13" t="n">
        <f aca="false">Parâmetros!$B$6</f>
        <v>0.05</v>
      </c>
      <c r="H13" s="14" t="n">
        <f aca="false">F13+G13</f>
        <v>0.165</v>
      </c>
      <c r="I13" s="15" t="n">
        <v>0</v>
      </c>
      <c r="J13" s="15" t="n">
        <v>0</v>
      </c>
      <c r="K13" s="15" t="n">
        <v>0</v>
      </c>
      <c r="L13" s="16" t="n">
        <f aca="false">(D13+I13)-((D13+I13)*H13)-E13-J13-K13</f>
        <v>475.82165</v>
      </c>
      <c r="M13" s="17" t="n">
        <f aca="false">IFERROR(L13*100/(D13+I13),"")</f>
        <v>52.9874107729485</v>
      </c>
      <c r="N13" s="18" t="n">
        <f aca="false">IFERROR((E13+J13+K13)/(1-H13-Parâmetros!$B$5)-I13,"")</f>
        <v>383.216783216783</v>
      </c>
      <c r="O13" s="19" t="str">
        <f aca="false">IF(L13&lt;0,"PREJUÍZO",IF(D13&lt;N13,"ABAIXO DO PISO","OK"))</f>
        <v>OK</v>
      </c>
    </row>
    <row r="14" customFormat="false" ht="15" hidden="false" customHeight="false" outlineLevel="0" collapsed="false">
      <c r="A14" s="20" t="s">
        <v>43</v>
      </c>
      <c r="B14" s="20" t="s">
        <v>62</v>
      </c>
      <c r="C14" s="20" t="s">
        <v>63</v>
      </c>
      <c r="D14" s="21" t="n">
        <v>890.99</v>
      </c>
      <c r="E14" s="21" t="n">
        <v>408</v>
      </c>
      <c r="F14" s="22" t="n">
        <v>0.115</v>
      </c>
      <c r="G14" s="23" t="n">
        <f aca="false">Parâmetros!$B$6</f>
        <v>0.05</v>
      </c>
      <c r="H14" s="24" t="n">
        <f aca="false">F14+G14</f>
        <v>0.165</v>
      </c>
      <c r="I14" s="15" t="n">
        <v>0</v>
      </c>
      <c r="J14" s="15" t="n">
        <v>0</v>
      </c>
      <c r="K14" s="15" t="n">
        <v>0</v>
      </c>
      <c r="L14" s="25" t="n">
        <f aca="false">(D14+I14)-((D14+I14)*H14)-E14-J14-K14</f>
        <v>335.97665</v>
      </c>
      <c r="M14" s="26" t="n">
        <f aca="false">IFERROR(L14*100/(D14+I14),"")</f>
        <v>37.7082402720569</v>
      </c>
      <c r="N14" s="27" t="n">
        <f aca="false">IFERROR((E14+J14+K14)/(1-H14-Parâmetros!$B$5)-I14,"")</f>
        <v>570.629370629371</v>
      </c>
      <c r="O14" s="28" t="str">
        <f aca="false">IF(L14&lt;0,"PREJUÍZO",IF(D14&lt;N14,"ABAIXO DO PISO","OK"))</f>
        <v>OK</v>
      </c>
    </row>
    <row r="15" customFormat="false" ht="15" hidden="false" customHeight="false" outlineLevel="0" collapsed="false">
      <c r="A15" s="10" t="s">
        <v>43</v>
      </c>
      <c r="B15" s="10" t="s">
        <v>64</v>
      </c>
      <c r="C15" s="10" t="s">
        <v>65</v>
      </c>
      <c r="D15" s="11" t="n">
        <v>890.99</v>
      </c>
      <c r="E15" s="11" t="n">
        <v>408</v>
      </c>
      <c r="F15" s="12" t="n">
        <v>0.115</v>
      </c>
      <c r="G15" s="13" t="n">
        <f aca="false">Parâmetros!$B$6</f>
        <v>0.05</v>
      </c>
      <c r="H15" s="14" t="n">
        <f aca="false">F15+G15</f>
        <v>0.165</v>
      </c>
      <c r="I15" s="15" t="n">
        <v>0</v>
      </c>
      <c r="J15" s="15" t="n">
        <v>0</v>
      </c>
      <c r="K15" s="15" t="n">
        <v>0</v>
      </c>
      <c r="L15" s="16" t="n">
        <f aca="false">(D15+I15)-((D15+I15)*H15)-E15-J15-K15</f>
        <v>335.97665</v>
      </c>
      <c r="M15" s="17" t="n">
        <f aca="false">IFERROR(L15*100/(D15+I15),"")</f>
        <v>37.7082402720569</v>
      </c>
      <c r="N15" s="18" t="n">
        <f aca="false">IFERROR((E15+J15+K15)/(1-H15-Parâmetros!$B$5)-I15,"")</f>
        <v>570.629370629371</v>
      </c>
      <c r="O15" s="19" t="str">
        <f aca="false">IF(L15&lt;0,"PREJUÍZO",IF(D15&lt;N15,"ABAIXO DO PISO","OK"))</f>
        <v>OK</v>
      </c>
    </row>
    <row r="16" customFormat="false" ht="15" hidden="false" customHeight="false" outlineLevel="0" collapsed="false">
      <c r="A16" s="20" t="s">
        <v>43</v>
      </c>
      <c r="B16" s="20" t="s">
        <v>66</v>
      </c>
      <c r="C16" s="20" t="s">
        <v>67</v>
      </c>
      <c r="D16" s="21" t="n">
        <v>619.99</v>
      </c>
      <c r="E16" s="21" t="n">
        <v>288</v>
      </c>
      <c r="F16" s="22" t="n">
        <v>0.115</v>
      </c>
      <c r="G16" s="23" t="n">
        <f aca="false">Parâmetros!$B$6</f>
        <v>0.05</v>
      </c>
      <c r="H16" s="24" t="n">
        <f aca="false">F16+G16</f>
        <v>0.165</v>
      </c>
      <c r="I16" s="15" t="n">
        <v>0</v>
      </c>
      <c r="J16" s="15" t="n">
        <v>0</v>
      </c>
      <c r="K16" s="15" t="n">
        <v>0</v>
      </c>
      <c r="L16" s="25" t="n">
        <f aca="false">(D16+I16)-((D16+I16)*H16)-E16-J16-K16</f>
        <v>229.69165</v>
      </c>
      <c r="M16" s="26" t="n">
        <f aca="false">IFERROR(L16*100/(D16+I16),"")</f>
        <v>37.0476378651269</v>
      </c>
      <c r="N16" s="27" t="n">
        <f aca="false">IFERROR((E16+J16+K16)/(1-H16-Parâmetros!$B$5)-I16,"")</f>
        <v>402.797202797203</v>
      </c>
      <c r="O16" s="28" t="str">
        <f aca="false">IF(L16&lt;0,"PREJUÍZO",IF(D16&lt;N16,"ABAIXO DO PISO","OK"))</f>
        <v>OK</v>
      </c>
    </row>
    <row r="17" customFormat="false" ht="15" hidden="false" customHeight="false" outlineLevel="0" collapsed="false">
      <c r="A17" s="10" t="s">
        <v>43</v>
      </c>
      <c r="B17" s="10" t="s">
        <v>68</v>
      </c>
      <c r="C17" s="10" t="s">
        <v>69</v>
      </c>
      <c r="D17" s="11" t="n">
        <v>619.99</v>
      </c>
      <c r="E17" s="11" t="n">
        <v>288</v>
      </c>
      <c r="F17" s="12" t="n">
        <v>0.115</v>
      </c>
      <c r="G17" s="13" t="n">
        <f aca="false">Parâmetros!$B$6</f>
        <v>0.05</v>
      </c>
      <c r="H17" s="14" t="n">
        <f aca="false">F17+G17</f>
        <v>0.165</v>
      </c>
      <c r="I17" s="15" t="n">
        <v>0</v>
      </c>
      <c r="J17" s="15" t="n">
        <v>0</v>
      </c>
      <c r="K17" s="15" t="n">
        <v>0</v>
      </c>
      <c r="L17" s="16" t="n">
        <f aca="false">(D17+I17)-((D17+I17)*H17)-E17-J17-K17</f>
        <v>229.69165</v>
      </c>
      <c r="M17" s="17" t="n">
        <f aca="false">IFERROR(L17*100/(D17+I17),"")</f>
        <v>37.0476378651269</v>
      </c>
      <c r="N17" s="18" t="n">
        <f aca="false">IFERROR((E17+J17+K17)/(1-H17-Parâmetros!$B$5)-I17,"")</f>
        <v>402.797202797203</v>
      </c>
      <c r="O17" s="19" t="str">
        <f aca="false">IF(L17&lt;0,"PREJUÍZO",IF(D17&lt;N17,"ABAIXO DO PISO","OK"))</f>
        <v>OK</v>
      </c>
    </row>
    <row r="18" customFormat="false" ht="15" hidden="false" customHeight="false" outlineLevel="0" collapsed="false">
      <c r="A18" s="20" t="s">
        <v>43</v>
      </c>
      <c r="B18" s="20" t="s">
        <v>70</v>
      </c>
      <c r="C18" s="20" t="s">
        <v>71</v>
      </c>
      <c r="D18" s="21" t="n">
        <v>1380.99</v>
      </c>
      <c r="E18" s="21" t="n">
        <v>521</v>
      </c>
      <c r="F18" s="22" t="n">
        <v>0.115</v>
      </c>
      <c r="G18" s="23" t="n">
        <f aca="false">Parâmetros!$B$6</f>
        <v>0.05</v>
      </c>
      <c r="H18" s="24" t="n">
        <f aca="false">F18+G18</f>
        <v>0.165</v>
      </c>
      <c r="I18" s="15" t="n">
        <v>0</v>
      </c>
      <c r="J18" s="15" t="n">
        <v>0</v>
      </c>
      <c r="K18" s="15" t="n">
        <v>0</v>
      </c>
      <c r="L18" s="25" t="n">
        <f aca="false">(D18+I18)-((D18+I18)*H18)-E18-J18-K18</f>
        <v>632.12665</v>
      </c>
      <c r="M18" s="26" t="n">
        <f aca="false">IFERROR(L18*100/(D18+I18),"")</f>
        <v>45.7734415165932</v>
      </c>
      <c r="N18" s="27" t="n">
        <f aca="false">IFERROR((E18+J18+K18)/(1-H18-Parâmetros!$B$5)-I18,"")</f>
        <v>728.671328671329</v>
      </c>
      <c r="O18" s="28" t="str">
        <f aca="false">IF(L18&lt;0,"PREJUÍZO",IF(D18&lt;N18,"ABAIXO DO PISO","OK"))</f>
        <v>OK</v>
      </c>
    </row>
    <row r="19" customFormat="false" ht="15" hidden="false" customHeight="false" outlineLevel="0" collapsed="false">
      <c r="A19" s="10" t="s">
        <v>43</v>
      </c>
      <c r="B19" s="10" t="s">
        <v>72</v>
      </c>
      <c r="C19" s="10" t="s">
        <v>73</v>
      </c>
      <c r="D19" s="11" t="n">
        <v>1380.99</v>
      </c>
      <c r="E19" s="11" t="n">
        <v>521</v>
      </c>
      <c r="F19" s="12" t="n">
        <v>0.115</v>
      </c>
      <c r="G19" s="13" t="n">
        <f aca="false">Parâmetros!$B$6</f>
        <v>0.05</v>
      </c>
      <c r="H19" s="14" t="n">
        <f aca="false">F19+G19</f>
        <v>0.165</v>
      </c>
      <c r="I19" s="15" t="n">
        <v>0</v>
      </c>
      <c r="J19" s="15" t="n">
        <v>0</v>
      </c>
      <c r="K19" s="15" t="n">
        <v>0</v>
      </c>
      <c r="L19" s="16" t="n">
        <f aca="false">(D19+I19)-((D19+I19)*H19)-E19-J19-K19</f>
        <v>632.12665</v>
      </c>
      <c r="M19" s="17" t="n">
        <f aca="false">IFERROR(L19*100/(D19+I19),"")</f>
        <v>45.7734415165932</v>
      </c>
      <c r="N19" s="18" t="n">
        <f aca="false">IFERROR((E19+J19+K19)/(1-H19-Parâmetros!$B$5)-I19,"")</f>
        <v>728.671328671329</v>
      </c>
      <c r="O19" s="19" t="str">
        <f aca="false">IF(L19&lt;0,"PREJUÍZO",IF(D19&lt;N19,"ABAIXO DO PISO","OK"))</f>
        <v>OK</v>
      </c>
    </row>
    <row r="20" customFormat="false" ht="15" hidden="false" customHeight="false" outlineLevel="0" collapsed="false">
      <c r="A20" s="20" t="s">
        <v>43</v>
      </c>
      <c r="B20" s="20" t="s">
        <v>74</v>
      </c>
      <c r="C20" s="20" t="s">
        <v>75</v>
      </c>
      <c r="D20" s="21" t="n">
        <v>1490.99</v>
      </c>
      <c r="E20" s="21" t="n">
        <v>639</v>
      </c>
      <c r="F20" s="22" t="n">
        <v>0.115</v>
      </c>
      <c r="G20" s="23" t="n">
        <f aca="false">Parâmetros!$B$6</f>
        <v>0.05</v>
      </c>
      <c r="H20" s="24" t="n">
        <f aca="false">F20+G20</f>
        <v>0.165</v>
      </c>
      <c r="I20" s="15" t="n">
        <v>0</v>
      </c>
      <c r="J20" s="15" t="n">
        <v>0</v>
      </c>
      <c r="K20" s="15" t="n">
        <v>0</v>
      </c>
      <c r="L20" s="25" t="n">
        <f aca="false">(D20+I20)-((D20+I20)*H20)-E20-J20-K20</f>
        <v>605.97665</v>
      </c>
      <c r="M20" s="26" t="n">
        <f aca="false">IFERROR(L20*100/(D20+I20),"")</f>
        <v>40.6425697020101</v>
      </c>
      <c r="N20" s="27" t="n">
        <f aca="false">IFERROR((E20+J20+K20)/(1-H20-Parâmetros!$B$5)-I20,"")</f>
        <v>893.706293706294</v>
      </c>
      <c r="O20" s="28" t="str">
        <f aca="false">IF(L20&lt;0,"PREJUÍZO",IF(D20&lt;N20,"ABAIXO DO PISO","OK"))</f>
        <v>OK</v>
      </c>
    </row>
    <row r="21" customFormat="false" ht="15" hidden="false" customHeight="false" outlineLevel="0" collapsed="false">
      <c r="A21" s="10" t="s">
        <v>43</v>
      </c>
      <c r="B21" s="10" t="s">
        <v>76</v>
      </c>
      <c r="C21" s="10" t="s">
        <v>77</v>
      </c>
      <c r="D21" s="11" t="n">
        <v>1490.99</v>
      </c>
      <c r="E21" s="11" t="n">
        <v>639</v>
      </c>
      <c r="F21" s="12" t="n">
        <v>0.115</v>
      </c>
      <c r="G21" s="13" t="n">
        <f aca="false">Parâmetros!$B$6</f>
        <v>0.05</v>
      </c>
      <c r="H21" s="14" t="n">
        <f aca="false">F21+G21</f>
        <v>0.165</v>
      </c>
      <c r="I21" s="15" t="n">
        <v>0</v>
      </c>
      <c r="J21" s="15" t="n">
        <v>0</v>
      </c>
      <c r="K21" s="15" t="n">
        <v>0</v>
      </c>
      <c r="L21" s="16" t="n">
        <f aca="false">(D21+I21)-((D21+I21)*H21)-E21-J21-K21</f>
        <v>605.97665</v>
      </c>
      <c r="M21" s="17" t="n">
        <f aca="false">IFERROR(L21*100/(D21+I21),"")</f>
        <v>40.6425697020101</v>
      </c>
      <c r="N21" s="18" t="n">
        <f aca="false">IFERROR((E21+J21+K21)/(1-H21-Parâmetros!$B$5)-I21,"")</f>
        <v>893.706293706294</v>
      </c>
      <c r="O21" s="19" t="str">
        <f aca="false">IF(L21&lt;0,"PREJUÍZO",IF(D21&lt;N21,"ABAIXO DO PISO","OK"))</f>
        <v>OK</v>
      </c>
    </row>
    <row r="22" customFormat="false" ht="15" hidden="false" customHeight="false" outlineLevel="0" collapsed="false">
      <c r="A22" s="20" t="s">
        <v>43</v>
      </c>
      <c r="B22" s="20" t="s">
        <v>78</v>
      </c>
      <c r="C22" s="20" t="s">
        <v>79</v>
      </c>
      <c r="D22" s="21" t="n">
        <v>476.99</v>
      </c>
      <c r="E22" s="21" t="n">
        <v>368</v>
      </c>
      <c r="F22" s="22" t="n">
        <v>0.105</v>
      </c>
      <c r="G22" s="23" t="n">
        <f aca="false">Parâmetros!$B$6</f>
        <v>0.05</v>
      </c>
      <c r="H22" s="24" t="n">
        <f aca="false">F22+G22</f>
        <v>0.155</v>
      </c>
      <c r="I22" s="15" t="n">
        <v>0</v>
      </c>
      <c r="J22" s="15" t="n">
        <v>0</v>
      </c>
      <c r="K22" s="15" t="n">
        <v>0</v>
      </c>
      <c r="L22" s="25" t="n">
        <f aca="false">(D22+I22)-((D22+I22)*H22)-E22-J22-K22</f>
        <v>35.05655</v>
      </c>
      <c r="M22" s="26" t="n">
        <f aca="false">IFERROR(L22*100/(D22+I22),"")</f>
        <v>7.34953562967777</v>
      </c>
      <c r="N22" s="27" t="n">
        <f aca="false">IFERROR((E22+J22+K22)/(1-H22-Parâmetros!$B$5)-I22,"")</f>
        <v>507.586206896552</v>
      </c>
      <c r="O22" s="28" t="str">
        <f aca="false">IF(L22&lt;0,"PREJUÍZO",IF(D22&lt;N22,"ABAIXO DO PISO","OK"))</f>
        <v>ABAIXO DO PISO</v>
      </c>
    </row>
    <row r="23" customFormat="false" ht="15" hidden="false" customHeight="false" outlineLevel="0" collapsed="false">
      <c r="A23" s="10" t="s">
        <v>43</v>
      </c>
      <c r="B23" s="10" t="s">
        <v>80</v>
      </c>
      <c r="C23" s="10" t="s">
        <v>81</v>
      </c>
      <c r="D23" s="11" t="n">
        <v>476.99</v>
      </c>
      <c r="E23" s="11" t="n">
        <v>368</v>
      </c>
      <c r="F23" s="12" t="n">
        <v>0.105</v>
      </c>
      <c r="G23" s="13" t="n">
        <f aca="false">Parâmetros!$B$6</f>
        <v>0.05</v>
      </c>
      <c r="H23" s="14" t="n">
        <f aca="false">F23+G23</f>
        <v>0.155</v>
      </c>
      <c r="I23" s="15" t="n">
        <v>0</v>
      </c>
      <c r="J23" s="15" t="n">
        <v>0</v>
      </c>
      <c r="K23" s="15" t="n">
        <v>0</v>
      </c>
      <c r="L23" s="16" t="n">
        <f aca="false">(D23+I23)-((D23+I23)*H23)-E23-J23-K23</f>
        <v>35.05655</v>
      </c>
      <c r="M23" s="17" t="n">
        <f aca="false">IFERROR(L23*100/(D23+I23),"")</f>
        <v>7.34953562967777</v>
      </c>
      <c r="N23" s="18" t="n">
        <f aca="false">IFERROR((E23+J23+K23)/(1-H23-Parâmetros!$B$5)-I23,"")</f>
        <v>507.586206896552</v>
      </c>
      <c r="O23" s="19" t="str">
        <f aca="false">IF(L23&lt;0,"PREJUÍZO",IF(D23&lt;N23,"ABAIXO DO PISO","OK"))</f>
        <v>ABAIXO DO PISO</v>
      </c>
    </row>
    <row r="24" customFormat="false" ht="15" hidden="false" customHeight="false" outlineLevel="0" collapsed="false">
      <c r="A24" s="20" t="s">
        <v>43</v>
      </c>
      <c r="B24" s="20" t="s">
        <v>82</v>
      </c>
      <c r="C24" s="20" t="s">
        <v>83</v>
      </c>
      <c r="D24" s="21" t="n">
        <v>403.99</v>
      </c>
      <c r="E24" s="21" t="n">
        <v>311</v>
      </c>
      <c r="F24" s="22" t="n">
        <v>0.105</v>
      </c>
      <c r="G24" s="23" t="n">
        <f aca="false">Parâmetros!$B$6</f>
        <v>0.05</v>
      </c>
      <c r="H24" s="24" t="n">
        <f aca="false">F24+G24</f>
        <v>0.155</v>
      </c>
      <c r="I24" s="15" t="n">
        <v>0</v>
      </c>
      <c r="J24" s="15" t="n">
        <v>0</v>
      </c>
      <c r="K24" s="15" t="n">
        <v>0</v>
      </c>
      <c r="L24" s="25" t="n">
        <f aca="false">(D24+I24)-((D24+I24)*H24)-E24-J24-K24</f>
        <v>30.37155</v>
      </c>
      <c r="M24" s="26" t="n">
        <f aca="false">IFERROR(L24*100/(D24+I24),"")</f>
        <v>7.51789648258621</v>
      </c>
      <c r="N24" s="27" t="n">
        <f aca="false">IFERROR((E24+J24+K24)/(1-H24-Parâmetros!$B$5)-I24,"")</f>
        <v>428.965517241379</v>
      </c>
      <c r="O24" s="28" t="str">
        <f aca="false">IF(L24&lt;0,"PREJUÍZO",IF(D24&lt;N24,"ABAIXO DO PISO","OK"))</f>
        <v>ABAIXO DO PISO</v>
      </c>
    </row>
    <row r="25" customFormat="false" ht="15" hidden="false" customHeight="false" outlineLevel="0" collapsed="false">
      <c r="A25" s="10" t="s">
        <v>43</v>
      </c>
      <c r="B25" s="10" t="s">
        <v>84</v>
      </c>
      <c r="C25" s="10" t="s">
        <v>85</v>
      </c>
      <c r="D25" s="11" t="n">
        <v>403.99</v>
      </c>
      <c r="E25" s="11" t="n">
        <v>311</v>
      </c>
      <c r="F25" s="12" t="n">
        <v>0.105</v>
      </c>
      <c r="G25" s="13" t="n">
        <f aca="false">Parâmetros!$B$6</f>
        <v>0.05</v>
      </c>
      <c r="H25" s="14" t="n">
        <f aca="false">F25+G25</f>
        <v>0.155</v>
      </c>
      <c r="I25" s="15" t="n">
        <v>0</v>
      </c>
      <c r="J25" s="15" t="n">
        <v>0</v>
      </c>
      <c r="K25" s="15" t="n">
        <v>0</v>
      </c>
      <c r="L25" s="16" t="n">
        <f aca="false">(D25+I25)-((D25+I25)*H25)-E25-J25-K25</f>
        <v>30.37155</v>
      </c>
      <c r="M25" s="17" t="n">
        <f aca="false">IFERROR(L25*100/(D25+I25),"")</f>
        <v>7.51789648258621</v>
      </c>
      <c r="N25" s="18" t="n">
        <f aca="false">IFERROR((E25+J25+K25)/(1-H25-Parâmetros!$B$5)-I25,"")</f>
        <v>428.965517241379</v>
      </c>
      <c r="O25" s="19" t="str">
        <f aca="false">IF(L25&lt;0,"PREJUÍZO",IF(D25&lt;N25,"ABAIXO DO PISO","OK"))</f>
        <v>ABAIXO DO PISO</v>
      </c>
    </row>
    <row r="26" customFormat="false" ht="15" hidden="false" customHeight="false" outlineLevel="0" collapsed="false">
      <c r="A26" s="20" t="s">
        <v>43</v>
      </c>
      <c r="B26" s="20" t="s">
        <v>86</v>
      </c>
      <c r="C26" s="20" t="s">
        <v>87</v>
      </c>
      <c r="D26" s="21" t="n">
        <v>358.99</v>
      </c>
      <c r="E26" s="21" t="n">
        <v>258</v>
      </c>
      <c r="F26" s="22" t="n">
        <v>0.105</v>
      </c>
      <c r="G26" s="23" t="n">
        <f aca="false">Parâmetros!$B$6</f>
        <v>0.05</v>
      </c>
      <c r="H26" s="24" t="n">
        <f aca="false">F26+G26</f>
        <v>0.155</v>
      </c>
      <c r="I26" s="15" t="n">
        <v>0</v>
      </c>
      <c r="J26" s="15" t="n">
        <v>0</v>
      </c>
      <c r="K26" s="15" t="n">
        <v>0</v>
      </c>
      <c r="L26" s="25" t="n">
        <f aca="false">(D26+I26)-((D26+I26)*H26)-E26-J26-K26</f>
        <v>45.34655</v>
      </c>
      <c r="M26" s="26" t="n">
        <f aca="false">IFERROR(L26*100/(D26+I26),"")</f>
        <v>12.631702832948</v>
      </c>
      <c r="N26" s="27" t="n">
        <f aca="false">IFERROR((E26+J26+K26)/(1-H26-Parâmetros!$B$5)-I26,"")</f>
        <v>355.862068965517</v>
      </c>
      <c r="O26" s="28" t="str">
        <f aca="false">IF(L26&lt;0,"PREJUÍZO",IF(D26&lt;N26,"ABAIXO DO PISO","OK"))</f>
        <v>OK</v>
      </c>
    </row>
    <row r="27" customFormat="false" ht="15" hidden="false" customHeight="false" outlineLevel="0" collapsed="false">
      <c r="A27" s="10" t="s">
        <v>43</v>
      </c>
      <c r="B27" s="10" t="s">
        <v>88</v>
      </c>
      <c r="C27" s="10" t="s">
        <v>89</v>
      </c>
      <c r="D27" s="11" t="n">
        <v>358.99</v>
      </c>
      <c r="E27" s="11" t="n">
        <v>258</v>
      </c>
      <c r="F27" s="12" t="n">
        <v>0.105</v>
      </c>
      <c r="G27" s="13" t="n">
        <f aca="false">Parâmetros!$B$6</f>
        <v>0.05</v>
      </c>
      <c r="H27" s="14" t="n">
        <f aca="false">F27+G27</f>
        <v>0.155</v>
      </c>
      <c r="I27" s="15" t="n">
        <v>0</v>
      </c>
      <c r="J27" s="15" t="n">
        <v>0</v>
      </c>
      <c r="K27" s="15" t="n">
        <v>0</v>
      </c>
      <c r="L27" s="16" t="n">
        <f aca="false">(D27+I27)-((D27+I27)*H27)-E27-J27-K27</f>
        <v>45.34655</v>
      </c>
      <c r="M27" s="17" t="n">
        <f aca="false">IFERROR(L27*100/(D27+I27),"")</f>
        <v>12.631702832948</v>
      </c>
      <c r="N27" s="18" t="n">
        <f aca="false">IFERROR((E27+J27+K27)/(1-H27-Parâmetros!$B$5)-I27,"")</f>
        <v>355.862068965517</v>
      </c>
      <c r="O27" s="19" t="str">
        <f aca="false">IF(L27&lt;0,"PREJUÍZO",IF(D27&lt;N27,"ABAIXO DO PISO","OK"))</f>
        <v>OK</v>
      </c>
    </row>
    <row r="28" customFormat="false" ht="15" hidden="false" customHeight="false" outlineLevel="0" collapsed="false">
      <c r="A28" s="20" t="s">
        <v>43</v>
      </c>
      <c r="B28" s="20" t="s">
        <v>90</v>
      </c>
      <c r="C28" s="20" t="s">
        <v>91</v>
      </c>
      <c r="D28" s="21" t="n">
        <v>280.99</v>
      </c>
      <c r="E28" s="21" t="n">
        <v>198</v>
      </c>
      <c r="F28" s="22" t="n">
        <v>0.105</v>
      </c>
      <c r="G28" s="23" t="n">
        <f aca="false">Parâmetros!$B$6</f>
        <v>0.05</v>
      </c>
      <c r="H28" s="24" t="n">
        <f aca="false">F28+G28</f>
        <v>0.155</v>
      </c>
      <c r="I28" s="15" t="n">
        <v>0</v>
      </c>
      <c r="J28" s="15" t="n">
        <v>0</v>
      </c>
      <c r="K28" s="15" t="n">
        <v>0</v>
      </c>
      <c r="L28" s="25" t="n">
        <f aca="false">(D28+I28)-((D28+I28)*H28)-E28-J28-K28</f>
        <v>39.43655</v>
      </c>
      <c r="M28" s="26" t="n">
        <f aca="false">IFERROR(L28*100/(D28+I28),"")</f>
        <v>14.0348588917755</v>
      </c>
      <c r="N28" s="27" t="n">
        <f aca="false">IFERROR((E28+J28+K28)/(1-H28-Parâmetros!$B$5)-I28,"")</f>
        <v>273.103448275862</v>
      </c>
      <c r="O28" s="28" t="str">
        <f aca="false">IF(L28&lt;0,"PREJUÍZO",IF(D28&lt;N28,"ABAIXO DO PISO","OK"))</f>
        <v>OK</v>
      </c>
    </row>
    <row r="29" customFormat="false" ht="15" hidden="false" customHeight="false" outlineLevel="0" collapsed="false">
      <c r="A29" s="10" t="s">
        <v>43</v>
      </c>
      <c r="B29" s="10" t="s">
        <v>92</v>
      </c>
      <c r="C29" s="10" t="s">
        <v>93</v>
      </c>
      <c r="D29" s="11" t="n">
        <v>346.99</v>
      </c>
      <c r="E29" s="11" t="n">
        <v>198</v>
      </c>
      <c r="F29" s="12" t="n">
        <v>0.105</v>
      </c>
      <c r="G29" s="13" t="n">
        <f aca="false">Parâmetros!$B$6</f>
        <v>0.05</v>
      </c>
      <c r="H29" s="14" t="n">
        <f aca="false">F29+G29</f>
        <v>0.155</v>
      </c>
      <c r="I29" s="15" t="n">
        <v>0</v>
      </c>
      <c r="J29" s="15" t="n">
        <v>0</v>
      </c>
      <c r="K29" s="15" t="n">
        <v>0</v>
      </c>
      <c r="L29" s="16" t="n">
        <f aca="false">(D29+I29)-((D29+I29)*H29)-E29-J29-K29</f>
        <v>95.20655</v>
      </c>
      <c r="M29" s="17" t="n">
        <f aca="false">IFERROR(L29*100/(D29+I29),"")</f>
        <v>27.4378368252687</v>
      </c>
      <c r="N29" s="18" t="n">
        <f aca="false">IFERROR((E29+J29+K29)/(1-H29-Parâmetros!$B$5)-I29,"")</f>
        <v>273.103448275862</v>
      </c>
      <c r="O29" s="19" t="str">
        <f aca="false">IF(L29&lt;0,"PREJUÍZO",IF(D29&lt;N29,"ABAIXO DO PISO","OK"))</f>
        <v>OK</v>
      </c>
    </row>
    <row r="30" customFormat="false" ht="15" hidden="false" customHeight="false" outlineLevel="0" collapsed="false">
      <c r="A30" s="20" t="s">
        <v>43</v>
      </c>
      <c r="B30" s="20" t="s">
        <v>94</v>
      </c>
      <c r="C30" s="20" t="s">
        <v>95</v>
      </c>
      <c r="D30" s="21" t="n">
        <v>298.99</v>
      </c>
      <c r="E30" s="21" t="n">
        <v>148.6</v>
      </c>
      <c r="F30" s="22" t="n">
        <v>0.105</v>
      </c>
      <c r="G30" s="23" t="n">
        <f aca="false">Parâmetros!$B$6</f>
        <v>0.05</v>
      </c>
      <c r="H30" s="24" t="n">
        <f aca="false">F30+G30</f>
        <v>0.155</v>
      </c>
      <c r="I30" s="15" t="n">
        <v>0</v>
      </c>
      <c r="J30" s="15" t="n">
        <v>0</v>
      </c>
      <c r="K30" s="15" t="n">
        <v>0</v>
      </c>
      <c r="L30" s="25" t="n">
        <f aca="false">(D30+I30)-((D30+I30)*H30)-E30-J30-K30</f>
        <v>104.04655</v>
      </c>
      <c r="M30" s="26" t="n">
        <f aca="false">IFERROR(L30*100/(D30+I30),"")</f>
        <v>34.7993411150875</v>
      </c>
      <c r="N30" s="27" t="n">
        <f aca="false">IFERROR((E30+J30+K30)/(1-H30-Parâmetros!$B$5)-I30,"")</f>
        <v>204.965517241379</v>
      </c>
      <c r="O30" s="28" t="str">
        <f aca="false">IF(L30&lt;0,"PREJUÍZO",IF(D30&lt;N30,"ABAIXO DO PISO","OK"))</f>
        <v>OK</v>
      </c>
    </row>
    <row r="31" customFormat="false" ht="15" hidden="false" customHeight="false" outlineLevel="0" collapsed="false">
      <c r="A31" s="10" t="s">
        <v>43</v>
      </c>
      <c r="B31" s="10" t="s">
        <v>96</v>
      </c>
      <c r="C31" s="10" t="s">
        <v>97</v>
      </c>
      <c r="D31" s="11" t="n">
        <v>245.99</v>
      </c>
      <c r="E31" s="11" t="n">
        <v>117.4</v>
      </c>
      <c r="F31" s="12" t="n">
        <v>0.105</v>
      </c>
      <c r="G31" s="13" t="n">
        <f aca="false">Parâmetros!$B$6</f>
        <v>0.05</v>
      </c>
      <c r="H31" s="14" t="n">
        <f aca="false">F31+G31</f>
        <v>0.155</v>
      </c>
      <c r="I31" s="15" t="n">
        <v>0</v>
      </c>
      <c r="J31" s="15" t="n">
        <v>0</v>
      </c>
      <c r="K31" s="15" t="n">
        <v>0</v>
      </c>
      <c r="L31" s="16" t="n">
        <f aca="false">(D31+I31)-((D31+I31)*H31)-E31-J31-K31</f>
        <v>90.46155</v>
      </c>
      <c r="M31" s="17" t="n">
        <f aca="false">IFERROR(L31*100/(D31+I31),"")</f>
        <v>36.7744827025489</v>
      </c>
      <c r="N31" s="18" t="n">
        <f aca="false">IFERROR((E31+J31+K31)/(1-H31-Parâmetros!$B$5)-I31,"")</f>
        <v>161.931034482759</v>
      </c>
      <c r="O31" s="19" t="str">
        <f aca="false">IF(L31&lt;0,"PREJUÍZO",IF(D31&lt;N31,"ABAIXO DO PISO","OK"))</f>
        <v>OK</v>
      </c>
    </row>
    <row r="32" customFormat="false" ht="15" hidden="false" customHeight="false" outlineLevel="0" collapsed="false">
      <c r="A32" s="20" t="s">
        <v>43</v>
      </c>
      <c r="B32" s="20" t="s">
        <v>98</v>
      </c>
      <c r="C32" s="20" t="s">
        <v>99</v>
      </c>
      <c r="D32" s="21" t="n">
        <v>245.99</v>
      </c>
      <c r="E32" s="21" t="n">
        <v>117.4</v>
      </c>
      <c r="F32" s="22" t="n">
        <v>0.105</v>
      </c>
      <c r="G32" s="23" t="n">
        <f aca="false">Parâmetros!$B$6</f>
        <v>0.05</v>
      </c>
      <c r="H32" s="24" t="n">
        <f aca="false">F32+G32</f>
        <v>0.155</v>
      </c>
      <c r="I32" s="15" t="n">
        <v>0</v>
      </c>
      <c r="J32" s="15" t="n">
        <v>0</v>
      </c>
      <c r="K32" s="15" t="n">
        <v>0</v>
      </c>
      <c r="L32" s="25" t="n">
        <f aca="false">(D32+I32)-((D32+I32)*H32)-E32-J32-K32</f>
        <v>90.46155</v>
      </c>
      <c r="M32" s="26" t="n">
        <f aca="false">IFERROR(L32*100/(D32+I32),"")</f>
        <v>36.7744827025489</v>
      </c>
      <c r="N32" s="27" t="n">
        <f aca="false">IFERROR((E32+J32+K32)/(1-H32-Parâmetros!$B$5)-I32,"")</f>
        <v>161.931034482759</v>
      </c>
      <c r="O32" s="28" t="str">
        <f aca="false">IF(L32&lt;0,"PREJUÍZO",IF(D32&lt;N32,"ABAIXO DO PISO","OK"))</f>
        <v>OK</v>
      </c>
    </row>
    <row r="33" customFormat="false" ht="15" hidden="false" customHeight="false" outlineLevel="0" collapsed="false">
      <c r="C33" s="6" t="s">
        <v>100</v>
      </c>
      <c r="L33" s="29" t="n">
        <f aca="false">SUM(L5:L32)</f>
        <v>6478.1179</v>
      </c>
      <c r="M33" s="30" t="n">
        <f aca="false">IFERROR(SUM(L5:L32)*100/(SUM(D5:D32)+SUM(I5:I32)),"")</f>
        <v>33.1434088895165</v>
      </c>
    </row>
    <row r="35" customFormat="false" ht="15" hidden="false" customHeight="false" outlineLevel="0" collapsed="false">
      <c r="C35" s="6" t="s">
        <v>101</v>
      </c>
    </row>
    <row r="36" customFormat="false" ht="15" hidden="false" customHeight="false" outlineLevel="0" collapsed="false">
      <c r="C36" s="31" t="s">
        <v>102</v>
      </c>
      <c r="D36" s="2" t="s">
        <v>103</v>
      </c>
    </row>
    <row r="37" customFormat="false" ht="15" hidden="false" customHeight="false" outlineLevel="0" collapsed="false">
      <c r="C37" s="32" t="s">
        <v>104</v>
      </c>
      <c r="D37" s="2" t="s">
        <v>105</v>
      </c>
    </row>
    <row r="38" customFormat="false" ht="15" hidden="false" customHeight="false" outlineLevel="0" collapsed="false">
      <c r="C38" s="4" t="s">
        <v>106</v>
      </c>
      <c r="D38" s="2" t="s">
        <v>107</v>
      </c>
    </row>
    <row r="39" customFormat="false" ht="15" hidden="false" customHeight="false" outlineLevel="0" collapsed="false">
      <c r="C39" s="33" t="s">
        <v>108</v>
      </c>
      <c r="D39" s="2" t="s">
        <v>109</v>
      </c>
    </row>
  </sheetData>
  <autoFilter ref="A4:O32"/>
  <conditionalFormatting sqref="O5:O32">
    <cfRule type="cellIs" priority="2" operator="equal" aboveAverage="0" equalAverage="0" bottom="0" percent="0" rank="0" text="" dxfId="9">
      <formula>"OK"</formula>
    </cfRule>
    <cfRule type="cellIs" priority="3" operator="notEqual" aboveAverage="0" equalAverage="0" bottom="0" percent="0" rank="0" text="" dxfId="10">
      <formula>"OK"</formula>
    </cfRule>
  </conditionalFormatting>
  <conditionalFormatting sqref="M5:M32">
    <cfRule type="cellIs" priority="4" operator="lessThan" aboveAverage="0" equalAverage="0" bottom="0" percent="0" rank="0" text="" dxfId="10">
      <formula>12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2026-08-27T13:44:02Z</dcterms:created>
  <dc:creator>openpyxl</dc:creator>
  <dc:description/>
  <dc:language>en-US</dc:language>
  <cp:lastModifiedBy/>
  <dcterms:modified xsi:type="dcterms:W3CDTF">2026-08-27T13:44:02Z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