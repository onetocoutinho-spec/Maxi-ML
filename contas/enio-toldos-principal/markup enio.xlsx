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<sst xmlns="http://schemas.openxmlformats.org/spreadsheetml/2006/main" count="99" uniqueCount="75">
  <si>
    <t xml:space="preserve">Conta</t>
  </si>
  <si>
    <t xml:space="preserve">SKU</t>
  </si>
  <si>
    <t xml:space="preserve">Valor de Venda</t>
  </si>
  <si>
    <t xml:space="preserve">Custo do Produto</t>
  </si>
  <si>
    <t xml:space="preserve">Taxa da Plataforma (%)</t>
  </si>
  <si>
    <t xml:space="preserve">Rebate</t>
  </si>
  <si>
    <t xml:space="preserve">Manuseio</t>
  </si>
  <si>
    <t xml:space="preserve">Frete</t>
  </si>
  <si>
    <t xml:space="preserve">Lucro Líquido</t>
  </si>
  <si>
    <t xml:space="preserve">Porcentagem</t>
  </si>
  <si>
    <t xml:space="preserve">MERCADO LIVRE</t>
  </si>
  <si>
    <t xml:space="preserve">Composição da taxa</t>
  </si>
  <si>
    <t xml:space="preserve">enio</t>
  </si>
  <si>
    <t xml:space="preserve">MLB4719594491</t>
  </si>
  <si>
    <t xml:space="preserve">Toldo Policarbonato 155x100 (madeira)</t>
  </si>
  <si>
    <t xml:space="preserve">comissão ML 16.5% + imposto 5%</t>
  </si>
  <si>
    <t xml:space="preserve">MLB4722895661</t>
  </si>
  <si>
    <t xml:space="preserve">Toldo Policarbonato 380x100 (madeira)</t>
  </si>
  <si>
    <t xml:space="preserve">MLB6864833186</t>
  </si>
  <si>
    <t xml:space="preserve">Toldo Policarbonato 305x100 (madeira)</t>
  </si>
  <si>
    <t xml:space="preserve">MLB4693629595</t>
  </si>
  <si>
    <t xml:space="preserve">Toldo Policarbonato 230x100 (madeira)</t>
  </si>
  <si>
    <t xml:space="preserve">MLB4728109795</t>
  </si>
  <si>
    <t xml:space="preserve">Toldo Metal 220x70</t>
  </si>
  <si>
    <t xml:space="preserve">comissão ML 13.5% + imposto 5%</t>
  </si>
  <si>
    <t xml:space="preserve">MLB4728168353</t>
  </si>
  <si>
    <t xml:space="preserve">Toldo Metal 290x70</t>
  </si>
  <si>
    <t xml:space="preserve">MLB6879345124</t>
  </si>
  <si>
    <t xml:space="preserve">Toldo Metal 145x70</t>
  </si>
  <si>
    <t xml:space="preserve">MLB4728439145</t>
  </si>
  <si>
    <t xml:space="preserve">Toldo Metal 365x70</t>
  </si>
  <si>
    <t xml:space="preserve">MLB4951921009</t>
  </si>
  <si>
    <t xml:space="preserve">Rack New Aurora Pérola</t>
  </si>
  <si>
    <t xml:space="preserve">comissão ML 11.5% + imposto 5%</t>
  </si>
  <si>
    <t xml:space="preserve">MLB6887673448</t>
  </si>
  <si>
    <t xml:space="preserve">Toldo 230x100 Madeira Bronze</t>
  </si>
  <si>
    <t xml:space="preserve">MLB4731310629</t>
  </si>
  <si>
    <t xml:space="preserve">Toldo Shoplima 230x100 Preto</t>
  </si>
  <si>
    <t xml:space="preserve">MLB6926100860</t>
  </si>
  <si>
    <t xml:space="preserve">Toldo 155x100 Madeira Bronze</t>
  </si>
  <si>
    <t xml:space="preserve">MLB6886568462</t>
  </si>
  <si>
    <t xml:space="preserve">Toldo 155x100 Madeira Fumê</t>
  </si>
  <si>
    <t xml:space="preserve">MLB6920349886</t>
  </si>
  <si>
    <t xml:space="preserve">Toldo 305x100 Madeira Bronze</t>
  </si>
  <si>
    <t xml:space="preserve">MLB4758802013</t>
  </si>
  <si>
    <t xml:space="preserve">Toldo 305x100 Madeira Fumê</t>
  </si>
  <si>
    <t xml:space="preserve">MLB6927477742</t>
  </si>
  <si>
    <t xml:space="preserve">Toldo 380x100 Madeira Fumê</t>
  </si>
  <si>
    <t xml:space="preserve">MLB4752676077</t>
  </si>
  <si>
    <t xml:space="preserve">Toldo 380x100 Madeira Bronze</t>
  </si>
  <si>
    <t xml:space="preserve">MLB6953635682</t>
  </si>
  <si>
    <t xml:space="preserve">Toldo Sunny 365x70 Fumê</t>
  </si>
  <si>
    <t xml:space="preserve">comissão ML 10.5% + imposto 5%</t>
  </si>
  <si>
    <t xml:space="preserve">MLB6953636662</t>
  </si>
  <si>
    <t xml:space="preserve">Toldo Sunny 365x70 Bronze</t>
  </si>
  <si>
    <t xml:space="preserve">MLB6953634094</t>
  </si>
  <si>
    <t xml:space="preserve">Toldo Sunny 290x70 Bronze</t>
  </si>
  <si>
    <t xml:space="preserve">MLB6953644418</t>
  </si>
  <si>
    <t xml:space="preserve">Toldo Policarbonato Fumê 290x70</t>
  </si>
  <si>
    <t xml:space="preserve">MLB4770364733</t>
  </si>
  <si>
    <t xml:space="preserve">Toldo Sunny 220x70 Fumê</t>
  </si>
  <si>
    <t xml:space="preserve">MLB6971791596</t>
  </si>
  <si>
    <t xml:space="preserve">Toldo Sunny 220x70 Bronze</t>
  </si>
  <si>
    <t xml:space="preserve">MLB4770294087</t>
  </si>
  <si>
    <t xml:space="preserve">Toldo Sunny 145x70 Fumê</t>
  </si>
  <si>
    <t xml:space="preserve">MLB4770425325</t>
  </si>
  <si>
    <t xml:space="preserve">Toldo Sunny 145x70 Bronze</t>
  </si>
  <si>
    <t xml:space="preserve">MLB4793527781</t>
  </si>
  <si>
    <t xml:space="preserve">Mesa Dobrável 70x70 Preta</t>
  </si>
  <si>
    <t xml:space="preserve">MLB6989353592</t>
  </si>
  <si>
    <t xml:space="preserve">Mesa Bistrô Dobrável Tabaco</t>
  </si>
  <si>
    <t xml:space="preserve">MLB4793450555</t>
  </si>
  <si>
    <t xml:space="preserve">Mesa Alta Bistrô Tabaco</t>
  </si>
  <si>
    <t xml:space="preserve">TOTAL</t>
  </si>
  <si>
    <t xml:space="preserve">Preencha Manuseio (G) e Frete (H). Os 28 anúncios têm frete grátis: quem paga é o Ênio. Enquanto H estiver vazia, o lucro acima está otimista.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</si>
</sst>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0.0\%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2"/>
      <color theme="1"/>
      <name val="Aptos Narrow"/>
      <family val="0"/>
      <charset val="1"/>
    </font>
    <font>
      <sz val="12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512280</xdr:colOff>
      <xdr:row>0</xdr:row>
      <xdr:rowOff>0</xdr:rowOff>
    </xdr:from>
    <xdr:to>
      <xdr:col>8</xdr:col>
      <xdr:colOff>873360</xdr:colOff>
      <xdr:row>0</xdr:row>
      <xdr:rowOff>1237320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780920" y="0"/>
          <a:ext cx="5717880" cy="123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2.6328125" defaultRowHeight="15.75" zeroHeight="false" outlineLevelRow="0" outlineLevelCol="0"/>
  <cols>
    <col min="1" max="1" width="9" customWidth="1"/>
    <col min="2" max="2" width="18" customWidth="1"/>
    <col min="3" max="3" width="14" customWidth="1"/>
    <col min="4" max="4" width="14" customWidth="1"/>
    <col min="5" max="5" width="12" customWidth="1"/>
    <col min="6" max="6" width="11" customWidth="1"/>
    <col min="7" max="7" width="12" customWidth="1"/>
    <col min="8" max="8" width="12" customWidth="1"/>
    <col min="9" max="9" width="14" customWidth="1"/>
    <col min="10" max="10" width="12" customWidth="1"/>
    <col min="11" max="11" width="40" customWidth="1"/>
    <col min="12" max="12" width="32" customWidth="1"/>
    <col min="13" max="46" width="9" customWidth="1"/>
  </cols>
  <sheetData>
    <row r="1" customFormat="false" ht="102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customFormat="false" ht="33.75" hidden="false" customHeight="true" outlineLevel="0" collapsed="false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customFormat="false" ht="15.75" hidden="false" customHeight="true" outlineLevel="0" collapsed="false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customFormat="false" ht="19.5" hidden="false" customHeight="true" outlineLevel="0" collapsed="false">
      <c r="A4" s="12" t="s">
        <v>12</v>
      </c>
      <c r="B4" s="13" t="s">
        <v>13</v>
      </c>
      <c r="C4" s="14" t="n">
        <v>619.99</v>
      </c>
      <c r="D4" s="15" t="n">
        <v>288</v>
      </c>
      <c r="E4" s="16" t="n">
        <v>0.215</v>
      </c>
      <c r="F4" s="17" t="n">
        <v>0</v>
      </c>
      <c r="G4" s="14"/>
      <c r="H4" s="14"/>
      <c r="I4" s="14" t="n">
        <f aca="false">(C4+F4)-((C4+F4)*E4)-D4-G4-H4</f>
        <v>198.69215</v>
      </c>
      <c r="J4" s="18" t="n">
        <f aca="false">(I4*100)/(C4+F4)</f>
        <v>32.0476378651269</v>
      </c>
      <c r="K4" s="19" t="s">
        <v>14</v>
      </c>
      <c r="L4" s="13" t="s">
        <v>15</v>
      </c>
    </row>
    <row r="5" customFormat="false" ht="19.5" hidden="false" customHeight="true" outlineLevel="0" collapsed="false">
      <c r="A5" s="12"/>
      <c r="B5" s="13" t="s">
        <v>16</v>
      </c>
      <c r="C5" s="14" t="n">
        <v>1490.99</v>
      </c>
      <c r="D5" s="15" t="n">
        <v>639</v>
      </c>
      <c r="E5" s="16" t="n">
        <v>0.215</v>
      </c>
      <c r="F5" s="17" t="n">
        <v>0</v>
      </c>
      <c r="G5" s="14"/>
      <c r="H5" s="14"/>
      <c r="I5" s="14" t="n">
        <f aca="false">(C5+F5)-((C5+F5)*E5)-D5-G5-H5</f>
        <v>531.42715</v>
      </c>
      <c r="J5" s="18" t="n">
        <f aca="false">(I5*100)/(C5+F5)</f>
        <v>35.6425697020101</v>
      </c>
      <c r="K5" s="19" t="s">
        <v>17</v>
      </c>
      <c r="L5" s="13" t="s">
        <v>15</v>
      </c>
    </row>
    <row r="6" customFormat="false" ht="19.5" hidden="false" customHeight="true" outlineLevel="0" collapsed="false">
      <c r="A6" s="12"/>
      <c r="B6" s="13" t="s">
        <v>18</v>
      </c>
      <c r="C6" s="14" t="n">
        <v>1380.99</v>
      </c>
      <c r="D6" s="15" t="n">
        <v>521</v>
      </c>
      <c r="E6" s="16" t="n">
        <v>0.215</v>
      </c>
      <c r="F6" s="17" t="n">
        <v>0</v>
      </c>
      <c r="G6" s="14"/>
      <c r="H6" s="14"/>
      <c r="I6" s="14" t="n">
        <f aca="false">(C6+F6)-((C6+F6)*E6)-D6-G6-H6</f>
        <v>563.07715</v>
      </c>
      <c r="J6" s="18" t="n">
        <f aca="false">(I6*100)/(C6+F6)</f>
        <v>40.7734415165932</v>
      </c>
      <c r="K6" s="19" t="s">
        <v>19</v>
      </c>
      <c r="L6" s="13" t="s">
        <v>15</v>
      </c>
    </row>
    <row r="7" customFormat="false" ht="19.5" hidden="false" customHeight="true" outlineLevel="0" collapsed="false">
      <c r="A7" s="12"/>
      <c r="B7" s="13" t="s">
        <v>20</v>
      </c>
      <c r="C7" s="14" t="n">
        <v>890.99</v>
      </c>
      <c r="D7" s="15" t="n">
        <v>408</v>
      </c>
      <c r="E7" s="16" t="n">
        <v>0.215</v>
      </c>
      <c r="F7" s="17" t="n">
        <v>0</v>
      </c>
      <c r="G7" s="14"/>
      <c r="H7" s="14"/>
      <c r="I7" s="14" t="n">
        <f aca="false">(C7+F7)-((C7+F7)*E7)-D7-G7-H7</f>
        <v>291.42715</v>
      </c>
      <c r="J7" s="18" t="n">
        <f aca="false">(I7*100)/(C7+F7)</f>
        <v>32.7082402720569</v>
      </c>
      <c r="K7" s="19" t="s">
        <v>21</v>
      </c>
      <c r="L7" s="13" t="s">
        <v>15</v>
      </c>
    </row>
    <row r="8" customFormat="false" ht="19.5" hidden="false" customHeight="true" outlineLevel="0" collapsed="false">
      <c r="A8" s="12"/>
      <c r="B8" s="13" t="s">
        <v>22</v>
      </c>
      <c r="C8" s="14" t="n">
        <v>437.99</v>
      </c>
      <c r="D8" s="15" t="n">
        <v>258</v>
      </c>
      <c r="E8" s="16" t="n">
        <v>0.185</v>
      </c>
      <c r="F8" s="17" t="n">
        <v>0</v>
      </c>
      <c r="G8" s="14"/>
      <c r="H8" s="14"/>
      <c r="I8" s="14" t="n">
        <f aca="false">(C8+F8)-((C8+F8)*E8)-D8-G8-H8</f>
        <v>98.96185</v>
      </c>
      <c r="J8" s="18" t="n">
        <f aca="false">(I8*100)/(C8+F8)</f>
        <v>22.5945455375694</v>
      </c>
      <c r="K8" s="19" t="s">
        <v>23</v>
      </c>
      <c r="L8" s="13" t="s">
        <v>24</v>
      </c>
    </row>
    <row r="9" customFormat="false" ht="19.5" hidden="false" customHeight="true" outlineLevel="0" collapsed="false">
      <c r="A9" s="12"/>
      <c r="B9" s="13" t="s">
        <v>25</v>
      </c>
      <c r="C9" s="14" t="n">
        <v>403.99</v>
      </c>
      <c r="D9" s="15" t="n">
        <v>311</v>
      </c>
      <c r="E9" s="16" t="n">
        <v>0.185</v>
      </c>
      <c r="F9" s="17" t="n">
        <v>0</v>
      </c>
      <c r="G9" s="14"/>
      <c r="H9" s="14"/>
      <c r="I9" s="14" t="n">
        <f aca="false">(C9+F9)-((C9+F9)*E9)-D9-G9-H9</f>
        <v>18.25185</v>
      </c>
      <c r="J9" s="18" t="n">
        <f aca="false">(I9*100)/(C9+F9)</f>
        <v>4.5178964825862</v>
      </c>
      <c r="K9" s="19" t="s">
        <v>26</v>
      </c>
      <c r="L9" s="13" t="s">
        <v>24</v>
      </c>
    </row>
    <row r="10" customFormat="false" ht="19.5" hidden="false" customHeight="true" outlineLevel="0" collapsed="false">
      <c r="A10" s="12"/>
      <c r="B10" s="13" t="s">
        <v>27</v>
      </c>
      <c r="C10" s="14" t="n">
        <v>280.99</v>
      </c>
      <c r="D10" s="15" t="n">
        <v>198</v>
      </c>
      <c r="E10" s="16" t="n">
        <v>0.185</v>
      </c>
      <c r="F10" s="17" t="n">
        <v>0</v>
      </c>
      <c r="G10" s="14"/>
      <c r="H10" s="14"/>
      <c r="I10" s="14" t="n">
        <f aca="false">(C10+F10)-((C10+F10)*E10)-D10-G10-H10</f>
        <v>31.00685</v>
      </c>
      <c r="J10" s="18" t="n">
        <f aca="false">(I10*100)/(C10+F10)</f>
        <v>11.0348588917755</v>
      </c>
      <c r="K10" s="19" t="s">
        <v>28</v>
      </c>
      <c r="L10" s="13" t="s">
        <v>24</v>
      </c>
    </row>
    <row r="11" customFormat="false" ht="19.5" hidden="false" customHeight="true" outlineLevel="0" collapsed="false">
      <c r="A11" s="12"/>
      <c r="B11" s="13" t="s">
        <v>29</v>
      </c>
      <c r="C11" s="14" t="n">
        <v>476.99</v>
      </c>
      <c r="D11" s="15" t="n">
        <v>368</v>
      </c>
      <c r="E11" s="16" t="n">
        <v>0.185</v>
      </c>
      <c r="F11" s="17" t="n">
        <v>0</v>
      </c>
      <c r="G11" s="14"/>
      <c r="H11" s="14"/>
      <c r="I11" s="14" t="n">
        <f aca="false">(C11+F11)-((C11+F11)*E11)-D11-G11-H11</f>
        <v>20.74685</v>
      </c>
      <c r="J11" s="18" t="n">
        <f aca="false">(I11*100)/(C11+F11)</f>
        <v>4.34953562967777</v>
      </c>
      <c r="K11" s="19" t="s">
        <v>30</v>
      </c>
      <c r="L11" s="13" t="s">
        <v>24</v>
      </c>
    </row>
    <row r="12" customFormat="false" ht="19.5" hidden="false" customHeight="true" outlineLevel="0" collapsed="false">
      <c r="A12" s="12"/>
      <c r="B12" s="13" t="s">
        <v>31</v>
      </c>
      <c r="C12" s="14" t="n">
        <v>897.99</v>
      </c>
      <c r="D12" s="15" t="n">
        <v>274</v>
      </c>
      <c r="E12" s="16" t="n">
        <v>0.165</v>
      </c>
      <c r="F12" s="17" t="n">
        <v>0</v>
      </c>
      <c r="G12" s="14"/>
      <c r="H12" s="14"/>
      <c r="I12" s="14" t="n">
        <f aca="false">(C12+F12)-((C12+F12)*E12)-D12-G12-H12</f>
        <v>475.82165</v>
      </c>
      <c r="J12" s="18" t="n">
        <f aca="false">(I12*100)/(C12+F12)</f>
        <v>52.9874107729485</v>
      </c>
      <c r="K12" s="19" t="s">
        <v>32</v>
      </c>
      <c r="L12" s="13" t="s">
        <v>33</v>
      </c>
    </row>
    <row r="13" customFormat="false" ht="19.5" hidden="false" customHeight="true" outlineLevel="0" collapsed="false">
      <c r="A13" s="12"/>
      <c r="B13" s="13" t="s">
        <v>34</v>
      </c>
      <c r="C13" s="14" t="n">
        <v>890.99</v>
      </c>
      <c r="D13" s="15" t="n">
        <v>408</v>
      </c>
      <c r="E13" s="16" t="n">
        <v>0.165</v>
      </c>
      <c r="F13" s="17" t="n">
        <v>0</v>
      </c>
      <c r="G13" s="14"/>
      <c r="H13" s="14"/>
      <c r="I13" s="14" t="n">
        <f aca="false">(C13+F13)-((C13+F13)*E13)-D13-G13-H13</f>
        <v>335.97665</v>
      </c>
      <c r="J13" s="18" t="n">
        <f aca="false">(I13*100)/(C13+F13)</f>
        <v>37.7082402720569</v>
      </c>
      <c r="K13" s="19" t="s">
        <v>35</v>
      </c>
      <c r="L13" s="13" t="s">
        <v>33</v>
      </c>
    </row>
    <row r="14" customFormat="false" ht="19.5" hidden="false" customHeight="true" outlineLevel="0" collapsed="false">
      <c r="A14" s="12"/>
      <c r="B14" s="13" t="s">
        <v>36</v>
      </c>
      <c r="C14" s="14" t="n">
        <v>890.99</v>
      </c>
      <c r="D14" s="15" t="n">
        <v>408</v>
      </c>
      <c r="E14" s="16" t="n">
        <v>0.165</v>
      </c>
      <c r="F14" s="17" t="n">
        <v>0</v>
      </c>
      <c r="G14" s="14"/>
      <c r="H14" s="14"/>
      <c r="I14" s="14" t="n">
        <f aca="false">(C14+F14)-((C14+F14)*E14)-D14-G14-H14</f>
        <v>335.97665</v>
      </c>
      <c r="J14" s="18" t="n">
        <f aca="false">(I14*100)/(C14+F14)</f>
        <v>37.7082402720569</v>
      </c>
      <c r="K14" s="19" t="s">
        <v>37</v>
      </c>
      <c r="L14" s="13" t="s">
        <v>33</v>
      </c>
    </row>
    <row r="15" customFormat="false" ht="19.5" hidden="false" customHeight="true" outlineLevel="0" collapsed="false">
      <c r="A15" s="12"/>
      <c r="B15" s="13" t="s">
        <v>38</v>
      </c>
      <c r="C15" s="14" t="n">
        <v>619.99</v>
      </c>
      <c r="D15" s="15" t="n">
        <v>288</v>
      </c>
      <c r="E15" s="16" t="n">
        <v>0.165</v>
      </c>
      <c r="F15" s="17" t="n">
        <v>0</v>
      </c>
      <c r="G15" s="14"/>
      <c r="H15" s="14"/>
      <c r="I15" s="14" t="n">
        <f aca="false">(C15+F15)-((C15+F15)*E15)-D15-G15-H15</f>
        <v>229.69165</v>
      </c>
      <c r="J15" s="18" t="n">
        <f aca="false">(I15*100)/(C15+F15)</f>
        <v>37.0476378651269</v>
      </c>
      <c r="K15" s="19" t="s">
        <v>39</v>
      </c>
      <c r="L15" s="13" t="s">
        <v>33</v>
      </c>
    </row>
    <row r="16" customFormat="false" ht="19.5" hidden="false" customHeight="true" outlineLevel="0" collapsed="false">
      <c r="A16" s="12"/>
      <c r="B16" s="13" t="s">
        <v>40</v>
      </c>
      <c r="C16" s="14" t="n">
        <v>619.99</v>
      </c>
      <c r="D16" s="15" t="n">
        <v>288</v>
      </c>
      <c r="E16" s="16" t="n">
        <v>0.165</v>
      </c>
      <c r="F16" s="17" t="n">
        <v>0</v>
      </c>
      <c r="G16" s="14"/>
      <c r="H16" s="14"/>
      <c r="I16" s="14" t="n">
        <f aca="false">(C16+F16)-((C16+F16)*E16)-D16-G16-H16</f>
        <v>229.69165</v>
      </c>
      <c r="J16" s="18" t="n">
        <f aca="false">(I16*100)/(C16+F16)</f>
        <v>37.0476378651269</v>
      </c>
      <c r="K16" s="19" t="s">
        <v>41</v>
      </c>
      <c r="L16" s="13" t="s">
        <v>33</v>
      </c>
    </row>
    <row r="17" customFormat="false" ht="19.5" hidden="false" customHeight="true" outlineLevel="0" collapsed="false">
      <c r="A17" s="12"/>
      <c r="B17" s="13" t="s">
        <v>42</v>
      </c>
      <c r="C17" s="14" t="n">
        <v>1380.99</v>
      </c>
      <c r="D17" s="15" t="n">
        <v>521</v>
      </c>
      <c r="E17" s="16" t="n">
        <v>0.165</v>
      </c>
      <c r="F17" s="17" t="n">
        <v>0</v>
      </c>
      <c r="G17" s="14"/>
      <c r="H17" s="14"/>
      <c r="I17" s="14" t="n">
        <f aca="false">(C17+F17)-((C17+F17)*E17)-D17-G17-H17</f>
        <v>632.12665</v>
      </c>
      <c r="J17" s="18" t="n">
        <f aca="false">(I17*100)/(C17+F17)</f>
        <v>45.7734415165932</v>
      </c>
      <c r="K17" s="19" t="s">
        <v>43</v>
      </c>
      <c r="L17" s="13" t="s">
        <v>33</v>
      </c>
    </row>
    <row r="18" customFormat="false" ht="19.5" hidden="false" customHeight="true" outlineLevel="0" collapsed="false">
      <c r="A18" s="12"/>
      <c r="B18" s="13" t="s">
        <v>44</v>
      </c>
      <c r="C18" s="14" t="n">
        <v>1380.99</v>
      </c>
      <c r="D18" s="15" t="n">
        <v>521</v>
      </c>
      <c r="E18" s="16" t="n">
        <v>0.165</v>
      </c>
      <c r="F18" s="17" t="n">
        <v>0</v>
      </c>
      <c r="G18" s="14"/>
      <c r="H18" s="14"/>
      <c r="I18" s="14" t="n">
        <f aca="false">(C18+F18)-((C18+F18)*E18)-D18-G18-H18</f>
        <v>632.12665</v>
      </c>
      <c r="J18" s="18" t="n">
        <f aca="false">(I18*100)/(C18+F18)</f>
        <v>45.7734415165932</v>
      </c>
      <c r="K18" s="19" t="s">
        <v>45</v>
      </c>
      <c r="L18" s="13" t="s">
        <v>33</v>
      </c>
    </row>
    <row r="19" customFormat="false" ht="19.5" hidden="false" customHeight="true" outlineLevel="0" collapsed="false">
      <c r="A19" s="12"/>
      <c r="B19" s="13" t="s">
        <v>46</v>
      </c>
      <c r="C19" s="14" t="n">
        <v>1490.99</v>
      </c>
      <c r="D19" s="15" t="n">
        <v>639</v>
      </c>
      <c r="E19" s="16" t="n">
        <v>0.165</v>
      </c>
      <c r="F19" s="17" t="n">
        <v>0</v>
      </c>
      <c r="G19" s="14"/>
      <c r="H19" s="14"/>
      <c r="I19" s="14" t="n">
        <f aca="false">(C19+F19)-((C19+F19)*E19)-D19-G19-H19</f>
        <v>605.97665</v>
      </c>
      <c r="J19" s="18" t="n">
        <f aca="false">(I19*100)/(C19+F19)</f>
        <v>40.6425697020101</v>
      </c>
      <c r="K19" s="19" t="s">
        <v>47</v>
      </c>
      <c r="L19" s="13" t="s">
        <v>33</v>
      </c>
    </row>
    <row r="20" customFormat="false" ht="19.5" hidden="false" customHeight="true" outlineLevel="0" collapsed="false">
      <c r="A20" s="12"/>
      <c r="B20" s="13" t="s">
        <v>48</v>
      </c>
      <c r="C20" s="14" t="n">
        <v>1490.99</v>
      </c>
      <c r="D20" s="15" t="n">
        <v>639</v>
      </c>
      <c r="E20" s="16" t="n">
        <v>0.165</v>
      </c>
      <c r="F20" s="17" t="n">
        <v>0</v>
      </c>
      <c r="G20" s="14"/>
      <c r="H20" s="14"/>
      <c r="I20" s="14" t="n">
        <f aca="false">(C20+F20)-((C20+F20)*E20)-D20-G20-H20</f>
        <v>605.97665</v>
      </c>
      <c r="J20" s="18" t="n">
        <f aca="false">(I20*100)/(C20+F20)</f>
        <v>40.6425697020101</v>
      </c>
      <c r="K20" s="19" t="s">
        <v>49</v>
      </c>
      <c r="L20" s="13" t="s">
        <v>33</v>
      </c>
    </row>
    <row r="21" customFormat="false" ht="19.5" hidden="false" customHeight="true" outlineLevel="0" collapsed="false">
      <c r="A21" s="12"/>
      <c r="B21" s="13" t="s">
        <v>50</v>
      </c>
      <c r="C21" s="14" t="n">
        <v>476.99</v>
      </c>
      <c r="D21" s="15" t="n">
        <v>368</v>
      </c>
      <c r="E21" s="16" t="n">
        <v>0.155</v>
      </c>
      <c r="F21" s="17" t="n">
        <v>0</v>
      </c>
      <c r="G21" s="14"/>
      <c r="H21" s="14"/>
      <c r="I21" s="14" t="n">
        <f aca="false">(C21+F21)-((C21+F21)*E21)-D21-G21-H21</f>
        <v>35.05655</v>
      </c>
      <c r="J21" s="18" t="n">
        <f aca="false">(I21*100)/(C21+F21)</f>
        <v>7.34953562967777</v>
      </c>
      <c r="K21" s="19" t="s">
        <v>51</v>
      </c>
      <c r="L21" s="13" t="s">
        <v>52</v>
      </c>
    </row>
    <row r="22" customFormat="false" ht="19.5" hidden="false" customHeight="true" outlineLevel="0" collapsed="false">
      <c r="A22" s="12"/>
      <c r="B22" s="13" t="s">
        <v>53</v>
      </c>
      <c r="C22" s="14" t="n">
        <v>476.99</v>
      </c>
      <c r="D22" s="15" t="n">
        <v>368</v>
      </c>
      <c r="E22" s="16" t="n">
        <v>0.155</v>
      </c>
      <c r="F22" s="17" t="n">
        <v>0</v>
      </c>
      <c r="G22" s="14"/>
      <c r="H22" s="14"/>
      <c r="I22" s="14" t="n">
        <f aca="false">(C22+F22)-((C22+F22)*E22)-D22-G22-H22</f>
        <v>35.05655</v>
      </c>
      <c r="J22" s="18" t="n">
        <f aca="false">(I22*100)/(C22+F22)</f>
        <v>7.34953562967777</v>
      </c>
      <c r="K22" s="19" t="s">
        <v>54</v>
      </c>
      <c r="L22" s="13" t="s">
        <v>52</v>
      </c>
    </row>
    <row r="23" customFormat="false" ht="19.5" hidden="false" customHeight="true" outlineLevel="0" collapsed="false">
      <c r="A23" s="12"/>
      <c r="B23" s="13" t="s">
        <v>55</v>
      </c>
      <c r="C23" s="14" t="n">
        <v>403.99</v>
      </c>
      <c r="D23" s="15" t="n">
        <v>311</v>
      </c>
      <c r="E23" s="16" t="n">
        <v>0.155</v>
      </c>
      <c r="F23" s="17" t="n">
        <v>0</v>
      </c>
      <c r="G23" s="14"/>
      <c r="H23" s="14"/>
      <c r="I23" s="14" t="n">
        <f aca="false">(C23+F23)-((C23+F23)*E23)-D23-G23-H23</f>
        <v>30.37155</v>
      </c>
      <c r="J23" s="18" t="n">
        <f aca="false">(I23*100)/(C23+F23)</f>
        <v>7.51789648258621</v>
      </c>
      <c r="K23" s="19" t="s">
        <v>56</v>
      </c>
      <c r="L23" s="13" t="s">
        <v>52</v>
      </c>
    </row>
    <row r="24" customFormat="false" ht="19.5" hidden="false" customHeight="true" outlineLevel="0" collapsed="false">
      <c r="A24" s="12"/>
      <c r="B24" s="13" t="s">
        <v>57</v>
      </c>
      <c r="C24" s="14" t="n">
        <v>403.99</v>
      </c>
      <c r="D24" s="15" t="n">
        <v>311</v>
      </c>
      <c r="E24" s="16" t="n">
        <v>0.155</v>
      </c>
      <c r="F24" s="17" t="n">
        <v>0</v>
      </c>
      <c r="G24" s="14"/>
      <c r="H24" s="14"/>
      <c r="I24" s="14" t="n">
        <f aca="false">(C24+F24)-((C24+F24)*E24)-D24-G24-H24</f>
        <v>30.37155</v>
      </c>
      <c r="J24" s="18" t="n">
        <f aca="false">(I24*100)/(C24+F24)</f>
        <v>7.51789648258621</v>
      </c>
      <c r="K24" s="19" t="s">
        <v>58</v>
      </c>
      <c r="L24" s="13" t="s">
        <v>52</v>
      </c>
    </row>
    <row r="25" customFormat="false" ht="19.5" hidden="false" customHeight="true" outlineLevel="0" collapsed="false">
      <c r="A25" s="12"/>
      <c r="B25" s="13" t="s">
        <v>59</v>
      </c>
      <c r="C25" s="14" t="n">
        <v>358.99</v>
      </c>
      <c r="D25" s="15" t="n">
        <v>258</v>
      </c>
      <c r="E25" s="16" t="n">
        <v>0.155</v>
      </c>
      <c r="F25" s="17" t="n">
        <v>0</v>
      </c>
      <c r="G25" s="14"/>
      <c r="H25" s="14"/>
      <c r="I25" s="14" t="n">
        <f aca="false">(C25+F25)-((C25+F25)*E25)-D25-G25-H25</f>
        <v>45.34655</v>
      </c>
      <c r="J25" s="18" t="n">
        <f aca="false">(I25*100)/(C25+F25)</f>
        <v>12.631702832948</v>
      </c>
      <c r="K25" s="19" t="s">
        <v>60</v>
      </c>
      <c r="L25" s="13" t="s">
        <v>52</v>
      </c>
    </row>
    <row r="26" customFormat="false" ht="19.5" hidden="false" customHeight="true" outlineLevel="0" collapsed="false">
      <c r="A26" s="12"/>
      <c r="B26" s="13" t="s">
        <v>61</v>
      </c>
      <c r="C26" s="14" t="n">
        <v>358.99</v>
      </c>
      <c r="D26" s="15" t="n">
        <v>258</v>
      </c>
      <c r="E26" s="16" t="n">
        <v>0.155</v>
      </c>
      <c r="F26" s="17" t="n">
        <v>0</v>
      </c>
      <c r="G26" s="14"/>
      <c r="H26" s="14"/>
      <c r="I26" s="14" t="n">
        <f aca="false">(C26+F26)-((C26+F26)*E26)-D26-G26-H26</f>
        <v>45.34655</v>
      </c>
      <c r="J26" s="18" t="n">
        <f aca="false">(I26*100)/(C26+F26)</f>
        <v>12.631702832948</v>
      </c>
      <c r="K26" s="19" t="s">
        <v>62</v>
      </c>
      <c r="L26" s="13" t="s">
        <v>52</v>
      </c>
    </row>
    <row r="27" customFormat="false" ht="19.5" hidden="false" customHeight="true" outlineLevel="0" collapsed="false">
      <c r="A27" s="12"/>
      <c r="B27" s="13" t="s">
        <v>63</v>
      </c>
      <c r="C27" s="14" t="n">
        <v>280.99</v>
      </c>
      <c r="D27" s="15" t="n">
        <v>198</v>
      </c>
      <c r="E27" s="16" t="n">
        <v>0.155</v>
      </c>
      <c r="F27" s="17" t="n">
        <v>0</v>
      </c>
      <c r="G27" s="14"/>
      <c r="H27" s="14"/>
      <c r="I27" s="14" t="n">
        <f aca="false">(C27+F27)-((C27+F27)*E27)-D27-G27-H27</f>
        <v>39.43655</v>
      </c>
      <c r="J27" s="18" t="n">
        <f aca="false">(I27*100)/(C27+F27)</f>
        <v>14.0348588917755</v>
      </c>
      <c r="K27" s="19" t="s">
        <v>64</v>
      </c>
      <c r="L27" s="13" t="s">
        <v>52</v>
      </c>
    </row>
    <row r="28" customFormat="false" ht="19.5" hidden="false" customHeight="true" outlineLevel="0" collapsed="false">
      <c r="A28" s="12"/>
      <c r="B28" s="13" t="s">
        <v>65</v>
      </c>
      <c r="C28" s="14" t="n">
        <v>346.99</v>
      </c>
      <c r="D28" s="15" t="n">
        <v>198</v>
      </c>
      <c r="E28" s="16" t="n">
        <v>0.155</v>
      </c>
      <c r="F28" s="17" t="n">
        <v>0</v>
      </c>
      <c r="G28" s="14"/>
      <c r="H28" s="14"/>
      <c r="I28" s="14" t="n">
        <f aca="false">(C28+F28)-((C28+F28)*E28)-D28-G28-H28</f>
        <v>95.20655</v>
      </c>
      <c r="J28" s="18" t="n">
        <f aca="false">(I28*100)/(C28+F28)</f>
        <v>27.4378368252687</v>
      </c>
      <c r="K28" s="19" t="s">
        <v>66</v>
      </c>
      <c r="L28" s="13" t="s">
        <v>52</v>
      </c>
    </row>
    <row r="29" customFormat="false" ht="19.5" hidden="false" customHeight="true" outlineLevel="0" collapsed="false">
      <c r="A29" s="12"/>
      <c r="B29" s="13" t="s">
        <v>67</v>
      </c>
      <c r="C29" s="14" t="n">
        <v>298.99</v>
      </c>
      <c r="D29" s="15" t="n">
        <v>148.6</v>
      </c>
      <c r="E29" s="16" t="n">
        <v>0.155</v>
      </c>
      <c r="F29" s="17" t="n">
        <v>0</v>
      </c>
      <c r="G29" s="14"/>
      <c r="H29" s="14"/>
      <c r="I29" s="14" t="n">
        <f aca="false">(C29+F29)-((C29+F29)*E29)-D29-G29-H29</f>
        <v>104.04655</v>
      </c>
      <c r="J29" s="18" t="n">
        <f aca="false">(I29*100)/(C29+F29)</f>
        <v>34.7993411150875</v>
      </c>
      <c r="K29" s="19" t="s">
        <v>68</v>
      </c>
      <c r="L29" s="13" t="s">
        <v>52</v>
      </c>
    </row>
    <row r="30" customFormat="false" ht="19.5" hidden="false" customHeight="true" outlineLevel="0" collapsed="false">
      <c r="A30" s="12"/>
      <c r="B30" s="13" t="s">
        <v>69</v>
      </c>
      <c r="C30" s="14" t="n">
        <v>245.99</v>
      </c>
      <c r="D30" s="15" t="n">
        <v>117.4</v>
      </c>
      <c r="E30" s="16" t="n">
        <v>0.155</v>
      </c>
      <c r="F30" s="17" t="n">
        <v>0</v>
      </c>
      <c r="G30" s="14"/>
      <c r="H30" s="14"/>
      <c r="I30" s="14" t="n">
        <f aca="false">(C30+F30)-((C30+F30)*E30)-D30-G30-H30</f>
        <v>90.46155</v>
      </c>
      <c r="J30" s="18" t="n">
        <f aca="false">(I30*100)/(C30+F30)</f>
        <v>36.7744827025489</v>
      </c>
      <c r="K30" s="19" t="s">
        <v>70</v>
      </c>
      <c r="L30" s="13" t="s">
        <v>52</v>
      </c>
    </row>
    <row r="31" customFormat="false" ht="19.5" hidden="false" customHeight="true" outlineLevel="0" collapsed="false">
      <c r="A31" s="12"/>
      <c r="B31" s="13" t="s">
        <v>71</v>
      </c>
      <c r="C31" s="14" t="n">
        <v>245.99</v>
      </c>
      <c r="D31" s="15" t="n">
        <v>117.4</v>
      </c>
      <c r="E31" s="16" t="n">
        <v>0.155</v>
      </c>
      <c r="F31" s="17" t="n">
        <v>0</v>
      </c>
      <c r="G31" s="14"/>
      <c r="H31" s="14"/>
      <c r="I31" s="14" t="n">
        <f aca="false">(C31+F31)-((C31+F31)*E31)-D31-G31-H31</f>
        <v>90.46155</v>
      </c>
      <c r="J31" s="18" t="n">
        <f aca="false">(I31*100)/(C31+F31)</f>
        <v>36.7744827025489</v>
      </c>
      <c r="K31" s="19" t="s">
        <v>72</v>
      </c>
      <c r="L31" s="13" t="s">
        <v>52</v>
      </c>
    </row>
    <row r="32" customFormat="false" ht="15.75" hidden="false" customHeight="true" outlineLevel="0" collapsed="false"/>
    <row r="33" customFormat="false" ht="15.75" hidden="false" customHeight="true" outlineLevel="0" collapsed="false">
      <c r="B33" s="20" t="s">
        <v>73</v>
      </c>
      <c r="C33" s="21" t="n">
        <f aca="false">SUM(C4:C31)</f>
        <v>19545.72</v>
      </c>
      <c r="I33" s="21" t="n">
        <f aca="false">SUM(I4:I31)</f>
        <v>6478.1179</v>
      </c>
      <c r="J33" s="22" t="n">
        <f aca="false">(I33*100)/(C33+SUM(F4:F31))</f>
        <v>33.1434088895165</v>
      </c>
    </row>
    <row r="34" customFormat="false" ht="15.75" hidden="false" customHeight="true" outlineLevel="0" collapsed="false"/>
    <row r="35" customFormat="false" ht="15.75" hidden="false" customHeight="true" outlineLevel="0" collapsed="false">
      <c r="B35" s="23" t="s">
        <v>74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true" customHeight="true" outlineLevel="0" collapsed="false"/>
    <row r="41" customFormat="false" ht="15.75" hidden="true" customHeight="true" outlineLevel="0" collapsed="false"/>
    <row r="42" customFormat="false" ht="15.75" hidden="tru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200" customFormat="false" ht="15.75" hidden="false" customHeight="true" outlineLevel="0" collapsed="false"/>
  </sheetData>
  <mergeCells count="1">
    <mergeCell ref="B1:J1"/>
  </mergeCells>
  <conditionalFormatting sqref="J4:J31">
    <cfRule type="cellIs" priority="2" operator="greaterThanOrEqual" aboveAverage="0" equalAverage="0" bottom="0" percent="0" rank="0" text="" dxfId="0">
      <formula>12</formula>
    </cfRule>
    <cfRule type="cellIs" priority="3" operator="lessThan" aboveAverage="0" equalAverage="0" bottom="0" percent="0" rank="0" text="" dxfId="1">
      <formula>12</formula>
    </cfRule>
  </conditionalFormatting>
  <conditionalFormatting sqref="I4:I31">
    <cfRule type="cellIs" priority="4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2026-08-27T13:50:38Z</dcterms:created>
  <dc:creator>openpyxl</dc:creator>
  <dc:description/>
  <dc:language>en-US</dc:language>
  <cp:lastModifiedBy/>
  <dcterms:modified xsi:type="dcterms:W3CDTF">2026-08-27T13:52:24Z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