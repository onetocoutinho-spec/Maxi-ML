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arâmetros" sheetId="2" state="visible" r:id="rId4"/>
    <sheet name="Precificação" sheetId="3" state="visible" r:id="rId5"/>
    <sheet name="Conferência" sheetId="4" state="visible" r:id="rId6"/>
  </sheets>
  <definedNames>
    <definedName function="false" hidden="true" localSheetId="2" name="_xlnm._FilterDatabase" vbProcedure="false">Precificação!$A$4:$P$32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<sst xmlns="http://schemas.openxmlformats.org/spreadsheetml/2006/main" count="194" uniqueCount="162">
  <si>
    <t xml:space="preserve">Ênio Toldos (ShopLima) — situação de preço</t>
  </si>
  <si>
    <t xml:space="preserve">28 anúncios ativos · dados de 26/08/2026 · frete ainda não medido</t>
  </si>
  <si>
    <t xml:space="preserve">Indicador</t>
  </si>
  <si>
    <t xml:space="preserve">Valor</t>
  </si>
  <si>
    <t xml:space="preserve">Anúncios ativos analisados</t>
  </si>
  <si>
    <t xml:space="preserve">Vendendo com margem abaixo de 12%</t>
  </si>
  <si>
    <t xml:space="preserve">Vendendo com prejuízo</t>
  </si>
  <si>
    <t xml:space="preserve">Margem média da conta (ponderada por preço)</t>
  </si>
  <si>
    <t xml:space="preserve">Comissão média do Mercado Livre</t>
  </si>
  <si>
    <t xml:space="preserve">Desconto médio aplicado sobre a tabela</t>
  </si>
  <si>
    <t xml:space="preserve">Os cinco anúncios com menor margem hoje</t>
  </si>
  <si>
    <t xml:space="preserve">Anúncio</t>
  </si>
  <si>
    <t xml:space="preserve">Preço</t>
  </si>
  <si>
    <t xml:space="preserve">Sobra</t>
  </si>
  <si>
    <t xml:space="preserve">Margem</t>
  </si>
  <si>
    <t xml:space="preserve">Seleção feita com o frete zerado. Preenchido o frete a ordem muda — use o filtro da aba Precificação.</t>
  </si>
  <si>
    <t xml:space="preserve">O que esta planilha responde</t>
  </si>
  <si>
    <t xml:space="preserve">1. Quanto o Mercado Livre realmente cobra de cada anúncio — medido, não estimado.</t>
  </si>
  <si>
    <t xml:space="preserve">2. Quanto sobra por venda, ao preço que o comprador está vendo hoje.</t>
  </si>
  <si>
    <t xml:space="preserve">3. Até onde dá para baixar o preço sem furar a margem mínima de 12%.</t>
  </si>
  <si>
    <t xml:space="preserve">A aba Conferência abre a conta de uma linha passo a passo, para checar à mão.</t>
  </si>
  <si>
    <t xml:space="preserve">O que falta: o custo do frete grátis. Os 28 anúncios têm frete grátis e quem</t>
  </si>
  <si>
    <t xml:space="preserve">paga é o vendedor. Preencha a coluna amarela e os números acima passam a valer</t>
  </si>
  <si>
    <t xml:space="preserve">de verdade. Enquanto ela estiver zerada, toda margem aqui está OTIMISTA.</t>
  </si>
  <si>
    <t xml:space="preserve">Parâmetros da precificação</t>
  </si>
  <si>
    <t xml:space="preserve">Ênio Toldos (ShopLima) — conta enio-toldos-principal</t>
  </si>
  <si>
    <t xml:space="preserve">Item</t>
  </si>
  <si>
    <t xml:space="preserve">De onde veio</t>
  </si>
  <si>
    <t xml:space="preserve">Margem mínima do Ênio (piso)</t>
  </si>
  <si>
    <t xml:space="preserve">NÃO é taxa do Mercado Livre. É o lucro mínimo que ele aceita. Informado por ele em 27/08/2026.</t>
  </si>
  <si>
    <t xml:space="preserve">Alíquota de imposto</t>
  </si>
  <si>
    <t xml:space="preserve">Informado pelo Ênio: 5% sobre o preço de venda.</t>
  </si>
  <si>
    <t xml:space="preserve">A comissão do Mercado Livre NÃO está aqui. Ela varia por anúncio (10,5% a 16,5%) e fica na coluna D da aba Precificação.</t>
  </si>
  <si>
    <t xml:space="preserve">Como o piso é calculado</t>
  </si>
  <si>
    <t xml:space="preserve">piso = (custo + frete + taxa fixa) ÷ (1 − comissão ML − imposto − margem)</t>
  </si>
  <si>
    <t xml:space="preserve">É o menor preço que ainda entrega a margem mínima. Vender abaixo dele não</t>
  </si>
  <si>
    <t xml:space="preserve">é vender com pouco lucro: é vender com lucro menor que o combinado — e</t>
  </si>
  <si>
    <t xml:space="preserve">abaixo do custo quando a margem fica negativa.</t>
  </si>
  <si>
    <t xml:space="preserve">Origem de cada número</t>
  </si>
  <si>
    <t xml:space="preserve">Comissão ML ....... medida anúncio por anúncio em /sites/MLB/listing_prices,</t>
  </si>
  <si>
    <t xml:space="preserve">                    em 26/08/2026. Não é estimativa: é o que o ML cobra.</t>
  </si>
  <si>
    <t xml:space="preserve">Taxa fixa ......... medida junto. Só incide em item de preço baixo;</t>
  </si>
  <si>
    <t xml:space="preserve">                    veio zerada nos 28 anúncios.</t>
  </si>
  <si>
    <t xml:space="preserve">Preço de vitrine .. o preço que o comprador vê, coletado em 26/08 às 23:39.</t>
  </si>
  <si>
    <t xml:space="preserve">                    Difere da tabela quando há campanha de desconto ativa.</t>
  </si>
  <si>
    <t xml:space="preserve">Custo ............. planilha 'Custo Enio ShopLima'. Para móveis, a coluna</t>
  </si>
  <si>
    <t xml:space="preserve">                    CUSTO SHOPPLIMA; para toldos, a coluna única.</t>
  </si>
  <si>
    <t xml:space="preserve">Frete ............. NÃO MEDIDO. É a coluna amarela da aba Precificação.</t>
  </si>
  <si>
    <t xml:space="preserve">                    Os 28 anúncios têm frete grátis: quem paga é o Ênio.</t>
  </si>
  <si>
    <t xml:space="preserve">Precificação por anúncio</t>
  </si>
  <si>
    <t xml:space="preserve">Preencha a coluna FRETE (amarela) com o que o Mercado Livre cobra do vendedor. Todo o resto se recalcula sozinho.</t>
  </si>
  <si>
    <t xml:space="preserve">MLB</t>
  </si>
  <si>
    <t xml:space="preserve">Tipo</t>
  </si>
  <si>
    <t xml:space="preserve">Comissão ML %</t>
  </si>
  <si>
    <t xml:space="preserve">Taxa fixa R$</t>
  </si>
  <si>
    <t xml:space="preserve">Preço tabela</t>
  </si>
  <si>
    <t xml:space="preserve">Preço vitrine</t>
  </si>
  <si>
    <t xml:space="preserve">Custo</t>
  </si>
  <si>
    <t xml:space="preserve">Frete</t>
  </si>
  <si>
    <t xml:space="preserve">Comissão R$</t>
  </si>
  <si>
    <t xml:space="preserve">Imposto R$</t>
  </si>
  <si>
    <t xml:space="preserve">Total descontado</t>
  </si>
  <si>
    <t xml:space="preserve">Piso</t>
  </si>
  <si>
    <t xml:space="preserve">Situação</t>
  </si>
  <si>
    <t xml:space="preserve">MLB4719594491</t>
  </si>
  <si>
    <t xml:space="preserve">Toldo Policarbonato 155x100 (madeira)</t>
  </si>
  <si>
    <t xml:space="preserve">Premium</t>
  </si>
  <si>
    <t xml:space="preserve">MLB4722895661</t>
  </si>
  <si>
    <t xml:space="preserve">Toldo Policarbonato 380x100 (madeira)</t>
  </si>
  <si>
    <t xml:space="preserve">MLB6864833186</t>
  </si>
  <si>
    <t xml:space="preserve">Toldo Policarbonato 305x100 (madeira)</t>
  </si>
  <si>
    <t xml:space="preserve">MLB4693629595</t>
  </si>
  <si>
    <t xml:space="preserve">Toldo Policarbonato 230x100 (madeira)</t>
  </si>
  <si>
    <t xml:space="preserve">MLB4728109795</t>
  </si>
  <si>
    <t xml:space="preserve">Toldo Metal 220x70</t>
  </si>
  <si>
    <t xml:space="preserve">MLB4728168353</t>
  </si>
  <si>
    <t xml:space="preserve">Toldo Metal 290x70</t>
  </si>
  <si>
    <t xml:space="preserve">MLB6879345124</t>
  </si>
  <si>
    <t xml:space="preserve">Toldo Metal 145x70</t>
  </si>
  <si>
    <t xml:space="preserve">MLB4728439145</t>
  </si>
  <si>
    <t xml:space="preserve">Toldo Metal 365x70</t>
  </si>
  <si>
    <t xml:space="preserve">MLB4951921009</t>
  </si>
  <si>
    <t xml:space="preserve">Rack New Aurora Pérola</t>
  </si>
  <si>
    <t xml:space="preserve">Clássico</t>
  </si>
  <si>
    <t xml:space="preserve">MLB6887673448</t>
  </si>
  <si>
    <t xml:space="preserve">Toldo 230x100 Madeira Bronze</t>
  </si>
  <si>
    <t xml:space="preserve">MLB4731310629</t>
  </si>
  <si>
    <t xml:space="preserve">Toldo Shoplima 230x100 Preto</t>
  </si>
  <si>
    <t xml:space="preserve">MLB6926100860</t>
  </si>
  <si>
    <t xml:space="preserve">Toldo 155x100 Madeira Bronze</t>
  </si>
  <si>
    <t xml:space="preserve">MLB6886568462</t>
  </si>
  <si>
    <t xml:space="preserve">Toldo 155x100 Madeira Fumê</t>
  </si>
  <si>
    <t xml:space="preserve">MLB6920349886</t>
  </si>
  <si>
    <t xml:space="preserve">Toldo 305x100 Madeira Bronze</t>
  </si>
  <si>
    <t xml:space="preserve">MLB4758802013</t>
  </si>
  <si>
    <t xml:space="preserve">Toldo 305x100 Madeira Fumê</t>
  </si>
  <si>
    <t xml:space="preserve">MLB6927477742</t>
  </si>
  <si>
    <t xml:space="preserve">Toldo 380x100 Madeira Fumê</t>
  </si>
  <si>
    <t xml:space="preserve">MLB4752676077</t>
  </si>
  <si>
    <t xml:space="preserve">Toldo 380x100 Madeira Bronze</t>
  </si>
  <si>
    <t xml:space="preserve">MLB6953635682</t>
  </si>
  <si>
    <t xml:space="preserve">Toldo Sunny 365x70 Fumê</t>
  </si>
  <si>
    <t xml:space="preserve">MLB6953636662</t>
  </si>
  <si>
    <t xml:space="preserve">Toldo Sunny 365x70 Bronze</t>
  </si>
  <si>
    <t xml:space="preserve">MLB6953634094</t>
  </si>
  <si>
    <t xml:space="preserve">Toldo Sunny 290x70 Bronze</t>
  </si>
  <si>
    <t xml:space="preserve">MLB6953644418</t>
  </si>
  <si>
    <t xml:space="preserve">Toldo Policarbonato Fumê 290x70</t>
  </si>
  <si>
    <t xml:space="preserve">MLB4770364733</t>
  </si>
  <si>
    <t xml:space="preserve">Toldo Sunny 220x70 Fumê</t>
  </si>
  <si>
    <t xml:space="preserve">MLB6971791596</t>
  </si>
  <si>
    <t xml:space="preserve">Toldo Sunny 220x70 Bronze</t>
  </si>
  <si>
    <t xml:space="preserve">MLB4770294087</t>
  </si>
  <si>
    <t xml:space="preserve">Toldo Sunny 145x70 Fumê</t>
  </si>
  <si>
    <t xml:space="preserve">MLB4770425325</t>
  </si>
  <si>
    <t xml:space="preserve">Toldo Sunny 145x70 Bronze</t>
  </si>
  <si>
    <t xml:space="preserve">MLB4793527781</t>
  </si>
  <si>
    <t xml:space="preserve">Mesa Dobrável 70x70 Preta</t>
  </si>
  <si>
    <t xml:space="preserve">MLB6989353592</t>
  </si>
  <si>
    <t xml:space="preserve">Mesa Bistrô Dobrável Tabaco</t>
  </si>
  <si>
    <t xml:space="preserve">MLB4793450555</t>
  </si>
  <si>
    <t xml:space="preserve">Mesa Alta Bistrô Tabaco</t>
  </si>
  <si>
    <t xml:space="preserve">TOTAL / MÉDIA</t>
  </si>
  <si>
    <t xml:space="preserve">Legenda</t>
  </si>
  <si>
    <t xml:space="preserve">Azul</t>
  </si>
  <si>
    <t xml:space="preserve">número medido ou informado — troque só se souber que mudou</t>
  </si>
  <si>
    <t xml:space="preserve">Amarelo</t>
  </si>
  <si>
    <t xml:space="preserve">PARA PREENCHER — o frete que o ML cobra do vendedor</t>
  </si>
  <si>
    <t xml:space="preserve">Preto</t>
  </si>
  <si>
    <t xml:space="preserve">fórmula, não edite</t>
  </si>
  <si>
    <t xml:space="preserve">Verde</t>
  </si>
  <si>
    <t xml:space="preserve">puxado da aba Parâmetros</t>
  </si>
  <si>
    <t xml:space="preserve">Confira a conta à mão</t>
  </si>
  <si>
    <t xml:space="preserve">Uma linha da aba Precificação, aberta passo a passo. Troque o número em B4 para conferir outra.</t>
  </si>
  <si>
    <t xml:space="preserve">Linha a conferir (5 a 32)</t>
  </si>
  <si>
    <t xml:space="preserve">Preço de venda hoje</t>
  </si>
  <si>
    <t xml:space="preserve">Comissão do ML (%)</t>
  </si>
  <si>
    <t xml:space="preserve">Custo do produto</t>
  </si>
  <si>
    <t xml:space="preserve">Frete do vendedor</t>
  </si>
  <si>
    <t xml:space="preserve">A conta</t>
  </si>
  <si>
    <t xml:space="preserve">comissão em R$</t>
  </si>
  <si>
    <t xml:space="preserve">preço × comissão</t>
  </si>
  <si>
    <t xml:space="preserve">imposto em R$</t>
  </si>
  <si>
    <t xml:space="preserve">preço × alíquota — sobre o MESMO preço</t>
  </si>
  <si>
    <t xml:space="preserve">custo</t>
  </si>
  <si>
    <t xml:space="preserve">da planilha do Ênio</t>
  </si>
  <si>
    <t xml:space="preserve">frete</t>
  </si>
  <si>
    <t xml:space="preserve">a preencher</t>
  </si>
  <si>
    <t xml:space="preserve">sobra</t>
  </si>
  <si>
    <t xml:space="preserve">preço menos tudo acima</t>
  </si>
  <si>
    <t xml:space="preserve">margem</t>
  </si>
  <si>
    <t xml:space="preserve">sobra ÷ preço</t>
  </si>
  <si>
    <t xml:space="preserve">Bate com a aba Precificação?</t>
  </si>
  <si>
    <t xml:space="preserve">Por que somar os percentuais e não descontar um depois do outro</t>
  </si>
  <si>
    <t xml:space="preserve">  somando:      preço × (1 − 5% − 11,5%)      =  preço × 0,835</t>
  </si>
  <si>
    <t xml:space="preserve">  em cascata:   preço × 0,95 × 0,885          =  preço × 0,84075</t>
  </si>
  <si>
    <t xml:space="preserve">A forma certa é somar. Os dois percentuais incidem sobre a MESMA base — o</t>
  </si>
  <si>
    <t xml:space="preserve">preço de venda cheio. O Mercado Livre cobra a comissão sobre o preço todo,</t>
  </si>
  <si>
    <t xml:space="preserve">e o imposto também é sobre o preço todo. Descontar em cascata faria o</t>
  </si>
  <si>
    <t xml:space="preserve">segundo percentual incidir sobre um valor já reduzido, o que não acontece.</t>
  </si>
  <si>
    <t xml:space="preserve">Por isso nenhuma fórmula desta planilha usa o resultado de outra taxa:</t>
  </si>
  <si>
    <t xml:space="preserve">a comissão é =G×D e o imposto é =G×5%, ambos partindo da coluna 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</si>
</sst>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;[RED]\-0.0%;\—"/>
    <numFmt numFmtId="167" formatCode="&quot;R$ &quot;#,##0.00;[RED]&quot;-R$ &quot;#,##0.00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COUNTA(Precificação!A5:A32)</f>
        <v>28</v>
      </c>
    </row>
    <row r="6" customFormat="false" ht="15" hidden="false" customHeight="false" outlineLevel="0" collapsed="false">
      <c r="A6" s="4" t="s">
        <v>5</v>
      </c>
      <c r="B6" s="5" t="n">
        <f aca="false">COUNTIF(Precificação!P5:P32,"ABAIXO DO PISO")+COUNTIF(Precificação!P5:P32,"PREJUÍZO")</f>
        <v>7</v>
      </c>
    </row>
    <row r="7" customFormat="false" ht="15" hidden="false" customHeight="false" outlineLevel="0" collapsed="false">
      <c r="A7" s="4" t="s">
        <v>6</v>
      </c>
      <c r="B7" s="5" t="n">
        <f aca="false">COUNTIF(Precificação!P5:P32,"PREJUÍZO")</f>
        <v>0</v>
      </c>
    </row>
    <row r="8" customFormat="false" ht="15" hidden="false" customHeight="false" outlineLevel="0" collapsed="false">
      <c r="A8" s="4" t="s">
        <v>7</v>
      </c>
      <c r="B8" s="6" t="n">
        <f aca="false">Precificação!N33</f>
        <v>0.331434088895165</v>
      </c>
    </row>
    <row r="9" customFormat="false" ht="15" hidden="false" customHeight="false" outlineLevel="0" collapsed="false">
      <c r="A9" s="4" t="s">
        <v>8</v>
      </c>
      <c r="B9" s="6" t="n">
        <f aca="false">IF(SUM(Precificação!G5:G32)=0,0,SUM(Precificação!J5:J32)/SUM(Precificação!G5:G32))</f>
        <v>0.125854463278917</v>
      </c>
    </row>
    <row r="10" customFormat="false" ht="15" hidden="false" customHeight="false" outlineLevel="0" collapsed="false">
      <c r="A10" s="4" t="s">
        <v>9</v>
      </c>
      <c r="B10" s="6" t="n">
        <f aca="false">IF(SUM(Precificação!F5:F32)=0,0,1-SUM(Precificação!G5:G32)/SUM(Precificação!F5:F32))</f>
        <v>0.2313465353076</v>
      </c>
    </row>
    <row r="12" customFormat="false" ht="15" hidden="false" customHeight="false" outlineLevel="0" collapsed="false">
      <c r="A12" s="7" t="s">
        <v>10</v>
      </c>
    </row>
    <row r="13" customFormat="false" ht="15" hidden="false" customHeight="false" outlineLevel="0" collapsed="false">
      <c r="A13" s="3" t="s">
        <v>11</v>
      </c>
      <c r="B13" s="3" t="s">
        <v>12</v>
      </c>
      <c r="C13" s="3" t="s">
        <v>13</v>
      </c>
      <c r="D13" s="3" t="s">
        <v>14</v>
      </c>
    </row>
    <row r="14" customFormat="false" ht="15" hidden="false" customHeight="false" outlineLevel="0" collapsed="false">
      <c r="A14" s="8" t="str">
        <f aca="false">Precificação!B12</f>
        <v>Toldo Metal 365x70</v>
      </c>
      <c r="B14" s="9" t="n">
        <f aca="false">Precificação!G12</f>
        <v>476.99</v>
      </c>
      <c r="C14" s="9" t="n">
        <f aca="false">Precificação!M12</f>
        <v>20.74685</v>
      </c>
      <c r="D14" s="10" t="n">
        <f aca="false">Precificação!N12</f>
        <v>0.0434953562967777</v>
      </c>
    </row>
    <row r="15" customFormat="false" ht="15" hidden="false" customHeight="false" outlineLevel="0" collapsed="false">
      <c r="A15" s="8" t="str">
        <f aca="false">Precificação!B10</f>
        <v>Toldo Metal 290x70</v>
      </c>
      <c r="B15" s="9" t="n">
        <f aca="false">Precificação!G10</f>
        <v>403.99</v>
      </c>
      <c r="C15" s="9" t="n">
        <f aca="false">Precificação!M10</f>
        <v>18.25185</v>
      </c>
      <c r="D15" s="10" t="n">
        <f aca="false">Precificação!N10</f>
        <v>0.045178964825862</v>
      </c>
    </row>
    <row r="16" customFormat="false" ht="15" hidden="false" customHeight="false" outlineLevel="0" collapsed="false">
      <c r="A16" s="8" t="str">
        <f aca="false">Precificação!B22</f>
        <v>Toldo Sunny 365x70 Fumê</v>
      </c>
      <c r="B16" s="9" t="n">
        <f aca="false">Precificação!G22</f>
        <v>476.99</v>
      </c>
      <c r="C16" s="9" t="n">
        <f aca="false">Precificação!M22</f>
        <v>35.05655</v>
      </c>
      <c r="D16" s="10" t="n">
        <f aca="false">Precificação!N22</f>
        <v>0.0734953562967777</v>
      </c>
    </row>
    <row r="17" customFormat="false" ht="15" hidden="false" customHeight="false" outlineLevel="0" collapsed="false">
      <c r="A17" s="8" t="str">
        <f aca="false">Precificação!B23</f>
        <v>Toldo Sunny 365x70 Bronze</v>
      </c>
      <c r="B17" s="9" t="n">
        <f aca="false">Precificação!G23</f>
        <v>476.99</v>
      </c>
      <c r="C17" s="9" t="n">
        <f aca="false">Precificação!M23</f>
        <v>35.05655</v>
      </c>
      <c r="D17" s="10" t="n">
        <f aca="false">Precificação!N23</f>
        <v>0.0734953562967777</v>
      </c>
    </row>
    <row r="18" customFormat="false" ht="15" hidden="false" customHeight="false" outlineLevel="0" collapsed="false">
      <c r="A18" s="8" t="str">
        <f aca="false">Precificação!B24</f>
        <v>Toldo Sunny 290x70 Bronze</v>
      </c>
      <c r="B18" s="9" t="n">
        <f aca="false">Precificação!G24</f>
        <v>403.99</v>
      </c>
      <c r="C18" s="9" t="n">
        <f aca="false">Precificação!M24</f>
        <v>30.37155</v>
      </c>
      <c r="D18" s="10" t="n">
        <f aca="false">Precificação!N24</f>
        <v>0.0751789648258621</v>
      </c>
    </row>
    <row r="19" customFormat="false" ht="15" hidden="false" customHeight="false" outlineLevel="0" collapsed="false">
      <c r="A19" s="2" t="s">
        <v>15</v>
      </c>
    </row>
    <row r="21" customFormat="false" ht="15" hidden="false" customHeight="false" outlineLevel="0" collapsed="false">
      <c r="A21" s="7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3</v>
      </c>
      <c r="C4" s="3" t="s">
        <v>27</v>
      </c>
    </row>
    <row r="5" customFormat="false" ht="30" hidden="false" customHeight="true" outlineLevel="0" collapsed="false">
      <c r="A5" s="4" t="s">
        <v>28</v>
      </c>
      <c r="B5" s="11" t="n">
        <v>0.12</v>
      </c>
      <c r="C5" s="12" t="s">
        <v>29</v>
      </c>
    </row>
    <row r="6" customFormat="false" ht="30" hidden="false" customHeight="true" outlineLevel="0" collapsed="false">
      <c r="A6" s="4" t="s">
        <v>30</v>
      </c>
      <c r="B6" s="11" t="n">
        <v>0.05</v>
      </c>
      <c r="C6" s="12" t="s">
        <v>31</v>
      </c>
    </row>
    <row r="8" customFormat="false" ht="15" hidden="false" customHeight="false" outlineLevel="0" collapsed="false">
      <c r="A8" s="13" t="s">
        <v>32</v>
      </c>
    </row>
    <row r="10" customFormat="false" ht="15" hidden="false" customHeight="false" outlineLevel="0" collapsed="false">
      <c r="A10" s="7" t="s">
        <v>33</v>
      </c>
    </row>
    <row r="11" customFormat="false" ht="15" hidden="false" customHeight="false" outlineLevel="0" collapsed="false">
      <c r="A11" s="14" t="s">
        <v>34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35</v>
      </c>
    </row>
    <row r="14" customFormat="false" ht="15" hidden="false" customHeight="false" outlineLevel="0" collapsed="false">
      <c r="A14" s="2" t="s">
        <v>36</v>
      </c>
    </row>
    <row r="15" customFormat="false" ht="15" hidden="false" customHeight="false" outlineLevel="0" collapsed="false">
      <c r="A15" s="2" t="s">
        <v>37</v>
      </c>
    </row>
    <row r="17" customFormat="false" ht="15" hidden="false" customHeight="false" outlineLevel="0" collapsed="false">
      <c r="A17" s="7" t="s">
        <v>38</v>
      </c>
    </row>
    <row r="18" customFormat="false" ht="15" hidden="false" customHeight="false" outlineLevel="0" collapsed="false">
      <c r="A18" s="2" t="s">
        <v>39</v>
      </c>
    </row>
    <row r="19" customFormat="false" ht="15" hidden="false" customHeight="false" outlineLevel="0" collapsed="false">
      <c r="A19" s="2" t="s">
        <v>40</v>
      </c>
    </row>
    <row r="20" customFormat="false" ht="15" hidden="false" customHeight="false" outlineLevel="0" collapsed="false">
      <c r="A20" s="2" t="s">
        <v>41</v>
      </c>
    </row>
    <row r="21" customFormat="false" ht="15" hidden="false" customHeight="false" outlineLevel="0" collapsed="false">
      <c r="A21" s="2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44</v>
      </c>
    </row>
    <row r="24" customFormat="false" ht="15" hidden="false" customHeight="false" outlineLevel="0" collapsed="false">
      <c r="A24" s="2" t="s">
        <v>45</v>
      </c>
    </row>
    <row r="25" customFormat="false" ht="15" hidden="false" customHeight="false" outlineLevel="0" collapsed="false">
      <c r="A25" s="2" t="s">
        <v>46</v>
      </c>
    </row>
    <row r="26" customFormat="false" ht="15" hidden="false" customHeight="false" outlineLevel="0" collapsed="false">
      <c r="A26" s="2" t="s">
        <v>47</v>
      </c>
    </row>
    <row r="27" customFormat="false" ht="15" hidden="false" customHeight="false" outlineLevel="0" collapsed="false">
      <c r="A27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0" hidden="false" customHeight="true" outlineLevel="0" collapsed="false">
      <c r="A4" s="15" t="s">
        <v>51</v>
      </c>
      <c r="B4" s="15" t="s">
        <v>11</v>
      </c>
      <c r="C4" s="15" t="s">
        <v>52</v>
      </c>
      <c r="D4" s="15" t="s">
        <v>53</v>
      </c>
      <c r="E4" s="15" t="s">
        <v>54</v>
      </c>
      <c r="F4" s="15" t="s">
        <v>55</v>
      </c>
      <c r="G4" s="15" t="s">
        <v>56</v>
      </c>
      <c r="H4" s="15" t="s">
        <v>57</v>
      </c>
      <c r="I4" s="15" t="s">
        <v>58</v>
      </c>
      <c r="J4" s="15" t="s">
        <v>59</v>
      </c>
      <c r="K4" s="15" t="s">
        <v>60</v>
      </c>
      <c r="L4" s="15" t="s">
        <v>61</v>
      </c>
      <c r="M4" s="15" t="s">
        <v>13</v>
      </c>
      <c r="N4" s="15" t="s">
        <v>14</v>
      </c>
      <c r="O4" s="15" t="s">
        <v>62</v>
      </c>
      <c r="P4" s="15" t="s">
        <v>63</v>
      </c>
    </row>
    <row r="5" customFormat="false" ht="15" hidden="false" customHeight="false" outlineLevel="0" collapsed="false">
      <c r="A5" s="16" t="s">
        <v>64</v>
      </c>
      <c r="B5" s="16" t="s">
        <v>65</v>
      </c>
      <c r="C5" s="17" t="s">
        <v>66</v>
      </c>
      <c r="D5" s="18" t="n">
        <v>0.165</v>
      </c>
      <c r="E5" s="19" t="n">
        <v>0</v>
      </c>
      <c r="F5" s="19" t="n">
        <v>700.9</v>
      </c>
      <c r="G5" s="19" t="n">
        <v>619.99</v>
      </c>
      <c r="H5" s="19" t="n">
        <v>288</v>
      </c>
      <c r="I5" s="20" t="n">
        <v>0</v>
      </c>
      <c r="J5" s="21" t="n">
        <f aca="false">G5*D5+E5</f>
        <v>102.29835</v>
      </c>
      <c r="K5" s="22" t="n">
        <f aca="false">G5*Parâmetros!$B$6</f>
        <v>30.9995</v>
      </c>
      <c r="L5" s="21" t="n">
        <f aca="false">J5+K5</f>
        <v>133.29785</v>
      </c>
      <c r="M5" s="23" t="n">
        <f aca="false">G5-L5-H5-I5</f>
        <v>198.69215</v>
      </c>
      <c r="N5" s="24" t="n">
        <f aca="false">IF(G5=0,0,M5/G5)</f>
        <v>0.320476378651269</v>
      </c>
      <c r="O5" s="21" t="n">
        <f aca="false">IF((1-D5-Parâmetros!$B$6-Parâmetros!$B$5)&lt;=0,"",(H5+I5+E5)/(1-D5-Parâmetros!$B$6-Parâmetros!$B$5))</f>
        <v>433.082706766917</v>
      </c>
      <c r="P5" s="25" t="str">
        <f aca="false">IF(M5&lt;0,"PREJUÍZO",IF(N5&lt;Parâmetros!$B$5,"ABAIXO DO PISO","OK"))</f>
        <v>OK</v>
      </c>
    </row>
    <row r="6" customFormat="false" ht="15" hidden="false" customHeight="false" outlineLevel="0" collapsed="false">
      <c r="A6" s="26" t="s">
        <v>67</v>
      </c>
      <c r="B6" s="26" t="s">
        <v>68</v>
      </c>
      <c r="C6" s="27" t="s">
        <v>66</v>
      </c>
      <c r="D6" s="28" t="n">
        <v>0.165</v>
      </c>
      <c r="E6" s="29" t="n">
        <v>0</v>
      </c>
      <c r="F6" s="29" t="n">
        <v>1700.9</v>
      </c>
      <c r="G6" s="29" t="n">
        <v>1490.99</v>
      </c>
      <c r="H6" s="29" t="n">
        <v>639</v>
      </c>
      <c r="I6" s="20" t="n">
        <v>0</v>
      </c>
      <c r="J6" s="30" t="n">
        <f aca="false">G6*D6+E6</f>
        <v>246.01335</v>
      </c>
      <c r="K6" s="31" t="n">
        <f aca="false">G6*Parâmetros!$B$6</f>
        <v>74.5495</v>
      </c>
      <c r="L6" s="30" t="n">
        <f aca="false">J6+K6</f>
        <v>320.56285</v>
      </c>
      <c r="M6" s="32" t="n">
        <f aca="false">G6-L6-H6-I6</f>
        <v>531.42715</v>
      </c>
      <c r="N6" s="33" t="n">
        <f aca="false">IF(G6=0,0,M6/G6)</f>
        <v>0.356425697020101</v>
      </c>
      <c r="O6" s="30" t="n">
        <f aca="false">IF((1-D6-Parâmetros!$B$6-Parâmetros!$B$5)&lt;=0,"",(H6+I6+E6)/(1-D6-Parâmetros!$B$6-Parâmetros!$B$5))</f>
        <v>960.902255639098</v>
      </c>
      <c r="P6" s="34" t="str">
        <f aca="false">IF(M6&lt;0,"PREJUÍZO",IF(N6&lt;Parâmetros!$B$5,"ABAIXO DO PISO","OK"))</f>
        <v>OK</v>
      </c>
    </row>
    <row r="7" customFormat="false" ht="15" hidden="false" customHeight="false" outlineLevel="0" collapsed="false">
      <c r="A7" s="16" t="s">
        <v>69</v>
      </c>
      <c r="B7" s="16" t="s">
        <v>70</v>
      </c>
      <c r="C7" s="17" t="s">
        <v>66</v>
      </c>
      <c r="D7" s="18" t="n">
        <v>0.165</v>
      </c>
      <c r="E7" s="19" t="n">
        <v>0</v>
      </c>
      <c r="F7" s="19" t="n">
        <v>1600.99</v>
      </c>
      <c r="G7" s="19" t="n">
        <v>1380.99</v>
      </c>
      <c r="H7" s="19" t="n">
        <v>521</v>
      </c>
      <c r="I7" s="20" t="n">
        <v>0</v>
      </c>
      <c r="J7" s="21" t="n">
        <f aca="false">G7*D7+E7</f>
        <v>227.86335</v>
      </c>
      <c r="K7" s="22" t="n">
        <f aca="false">G7*Parâmetros!$B$6</f>
        <v>69.0495</v>
      </c>
      <c r="L7" s="21" t="n">
        <f aca="false">J7+K7</f>
        <v>296.91285</v>
      </c>
      <c r="M7" s="23" t="n">
        <f aca="false">G7-L7-H7-I7</f>
        <v>563.07715</v>
      </c>
      <c r="N7" s="24" t="n">
        <f aca="false">IF(G7=0,0,M7/G7)</f>
        <v>0.407734415165932</v>
      </c>
      <c r="O7" s="21" t="n">
        <f aca="false">IF((1-D7-Parâmetros!$B$6-Parâmetros!$B$5)&lt;=0,"",(H7+I7+E7)/(1-D7-Parâmetros!$B$6-Parâmetros!$B$5))</f>
        <v>783.458646616541</v>
      </c>
      <c r="P7" s="25" t="str">
        <f aca="false">IF(M7&lt;0,"PREJUÍZO",IF(N7&lt;Parâmetros!$B$5,"ABAIXO DO PISO","OK"))</f>
        <v>OK</v>
      </c>
    </row>
    <row r="8" customFormat="false" ht="15" hidden="false" customHeight="false" outlineLevel="0" collapsed="false">
      <c r="A8" s="26" t="s">
        <v>71</v>
      </c>
      <c r="B8" s="26" t="s">
        <v>72</v>
      </c>
      <c r="C8" s="27" t="s">
        <v>66</v>
      </c>
      <c r="D8" s="28" t="n">
        <v>0.165</v>
      </c>
      <c r="E8" s="29" t="n">
        <v>0</v>
      </c>
      <c r="F8" s="29" t="n">
        <v>1246.99</v>
      </c>
      <c r="G8" s="29" t="n">
        <v>890.99</v>
      </c>
      <c r="H8" s="29" t="n">
        <v>408</v>
      </c>
      <c r="I8" s="20" t="n">
        <v>0</v>
      </c>
      <c r="J8" s="30" t="n">
        <f aca="false">G8*D8+E8</f>
        <v>147.01335</v>
      </c>
      <c r="K8" s="31" t="n">
        <f aca="false">G8*Parâmetros!$B$6</f>
        <v>44.5495</v>
      </c>
      <c r="L8" s="30" t="n">
        <f aca="false">J8+K8</f>
        <v>191.56285</v>
      </c>
      <c r="M8" s="32" t="n">
        <f aca="false">G8-L8-H8-I8</f>
        <v>291.42715</v>
      </c>
      <c r="N8" s="33" t="n">
        <f aca="false">IF(G8=0,0,M8/G8)</f>
        <v>0.327082402720569</v>
      </c>
      <c r="O8" s="30" t="n">
        <f aca="false">IF((1-D8-Parâmetros!$B$6-Parâmetros!$B$5)&lt;=0,"",(H8+I8+E8)/(1-D8-Parâmetros!$B$6-Parâmetros!$B$5))</f>
        <v>613.533834586466</v>
      </c>
      <c r="P8" s="34" t="str">
        <f aca="false">IF(M8&lt;0,"PREJUÍZO",IF(N8&lt;Parâmetros!$B$5,"ABAIXO DO PISO","OK"))</f>
        <v>OK</v>
      </c>
    </row>
    <row r="9" customFormat="false" ht="15" hidden="false" customHeight="false" outlineLevel="0" collapsed="false">
      <c r="A9" s="16" t="s">
        <v>73</v>
      </c>
      <c r="B9" s="16" t="s">
        <v>74</v>
      </c>
      <c r="C9" s="17" t="s">
        <v>66</v>
      </c>
      <c r="D9" s="18" t="n">
        <v>0.135</v>
      </c>
      <c r="E9" s="19" t="n">
        <v>0</v>
      </c>
      <c r="F9" s="19" t="n">
        <v>520</v>
      </c>
      <c r="G9" s="19" t="n">
        <v>437.99</v>
      </c>
      <c r="H9" s="19" t="n">
        <v>258</v>
      </c>
      <c r="I9" s="20" t="n">
        <v>0</v>
      </c>
      <c r="J9" s="21" t="n">
        <f aca="false">G9*D9+E9</f>
        <v>59.12865</v>
      </c>
      <c r="K9" s="22" t="n">
        <f aca="false">G9*Parâmetros!$B$6</f>
        <v>21.8995</v>
      </c>
      <c r="L9" s="21" t="n">
        <f aca="false">J9+K9</f>
        <v>81.02815</v>
      </c>
      <c r="M9" s="23" t="n">
        <f aca="false">G9-L9-H9-I9</f>
        <v>98.96185</v>
      </c>
      <c r="N9" s="24" t="n">
        <f aca="false">IF(G9=0,0,M9/G9)</f>
        <v>0.225945455375694</v>
      </c>
      <c r="O9" s="21" t="n">
        <f aca="false">IF((1-D9-Parâmetros!$B$6-Parâmetros!$B$5)&lt;=0,"",(H9+I9+E9)/(1-D9-Parâmetros!$B$6-Parâmetros!$B$5))</f>
        <v>371.223021582734</v>
      </c>
      <c r="P9" s="25" t="str">
        <f aca="false">IF(M9&lt;0,"PREJUÍZO",IF(N9&lt;Parâmetros!$B$5,"ABAIXO DO PISO","OK"))</f>
        <v>OK</v>
      </c>
    </row>
    <row r="10" customFormat="false" ht="15" hidden="false" customHeight="false" outlineLevel="0" collapsed="false">
      <c r="A10" s="26" t="s">
        <v>75</v>
      </c>
      <c r="B10" s="26" t="s">
        <v>76</v>
      </c>
      <c r="C10" s="27" t="s">
        <v>66</v>
      </c>
      <c r="D10" s="28" t="n">
        <v>0.135</v>
      </c>
      <c r="E10" s="29" t="n">
        <v>0</v>
      </c>
      <c r="F10" s="29" t="n">
        <v>590</v>
      </c>
      <c r="G10" s="29" t="n">
        <v>403.99</v>
      </c>
      <c r="H10" s="29" t="n">
        <v>311</v>
      </c>
      <c r="I10" s="20" t="n">
        <v>0</v>
      </c>
      <c r="J10" s="30" t="n">
        <f aca="false">G10*D10+E10</f>
        <v>54.53865</v>
      </c>
      <c r="K10" s="31" t="n">
        <f aca="false">G10*Parâmetros!$B$6</f>
        <v>20.1995</v>
      </c>
      <c r="L10" s="30" t="n">
        <f aca="false">J10+K10</f>
        <v>74.73815</v>
      </c>
      <c r="M10" s="32" t="n">
        <f aca="false">G10-L10-H10-I10</f>
        <v>18.25185</v>
      </c>
      <c r="N10" s="33" t="n">
        <f aca="false">IF(G10=0,0,M10/G10)</f>
        <v>0.045178964825862</v>
      </c>
      <c r="O10" s="30" t="n">
        <f aca="false">IF((1-D10-Parâmetros!$B$6-Parâmetros!$B$5)&lt;=0,"",(H10+I10+E10)/(1-D10-Parâmetros!$B$6-Parâmetros!$B$5))</f>
        <v>447.482014388489</v>
      </c>
      <c r="P10" s="34" t="str">
        <f aca="false">IF(M10&lt;0,"PREJUÍZO",IF(N10&lt;Parâmetros!$B$5,"ABAIXO DO PISO","OK"))</f>
        <v>ABAIXO DO PISO</v>
      </c>
    </row>
    <row r="11" customFormat="false" ht="15" hidden="false" customHeight="false" outlineLevel="0" collapsed="false">
      <c r="A11" s="16" t="s">
        <v>77</v>
      </c>
      <c r="B11" s="16" t="s">
        <v>78</v>
      </c>
      <c r="C11" s="17" t="s">
        <v>66</v>
      </c>
      <c r="D11" s="18" t="n">
        <v>0.135</v>
      </c>
      <c r="E11" s="19" t="n">
        <v>0</v>
      </c>
      <c r="F11" s="19" t="n">
        <v>490</v>
      </c>
      <c r="G11" s="19" t="n">
        <v>280.99</v>
      </c>
      <c r="H11" s="19" t="n">
        <v>198</v>
      </c>
      <c r="I11" s="20" t="n">
        <v>0</v>
      </c>
      <c r="J11" s="21" t="n">
        <f aca="false">G11*D11+E11</f>
        <v>37.93365</v>
      </c>
      <c r="K11" s="22" t="n">
        <f aca="false">G11*Parâmetros!$B$6</f>
        <v>14.0495</v>
      </c>
      <c r="L11" s="21" t="n">
        <f aca="false">J11+K11</f>
        <v>51.98315</v>
      </c>
      <c r="M11" s="23" t="n">
        <f aca="false">G11-L11-H11-I11</f>
        <v>31.00685</v>
      </c>
      <c r="N11" s="24" t="n">
        <f aca="false">IF(G11=0,0,M11/G11)</f>
        <v>0.110348588917755</v>
      </c>
      <c r="O11" s="21" t="n">
        <f aca="false">IF((1-D11-Parâmetros!$B$6-Parâmetros!$B$5)&lt;=0,"",(H11+I11+E11)/(1-D11-Parâmetros!$B$6-Parâmetros!$B$5))</f>
        <v>284.892086330935</v>
      </c>
      <c r="P11" s="25" t="str">
        <f aca="false">IF(M11&lt;0,"PREJUÍZO",IF(N11&lt;Parâmetros!$B$5,"ABAIXO DO PISO","OK"))</f>
        <v>ABAIXO DO PISO</v>
      </c>
    </row>
    <row r="12" customFormat="false" ht="15" hidden="false" customHeight="false" outlineLevel="0" collapsed="false">
      <c r="A12" s="26" t="s">
        <v>79</v>
      </c>
      <c r="B12" s="26" t="s">
        <v>80</v>
      </c>
      <c r="C12" s="27" t="s">
        <v>66</v>
      </c>
      <c r="D12" s="28" t="n">
        <v>0.135</v>
      </c>
      <c r="E12" s="29" t="n">
        <v>0</v>
      </c>
      <c r="F12" s="29" t="n">
        <v>690</v>
      </c>
      <c r="G12" s="29" t="n">
        <v>476.99</v>
      </c>
      <c r="H12" s="29" t="n">
        <v>368</v>
      </c>
      <c r="I12" s="20" t="n">
        <v>0</v>
      </c>
      <c r="J12" s="30" t="n">
        <f aca="false">G12*D12+E12</f>
        <v>64.39365</v>
      </c>
      <c r="K12" s="31" t="n">
        <f aca="false">G12*Parâmetros!$B$6</f>
        <v>23.8495</v>
      </c>
      <c r="L12" s="30" t="n">
        <f aca="false">J12+K12</f>
        <v>88.24315</v>
      </c>
      <c r="M12" s="32" t="n">
        <f aca="false">G12-L12-H12-I12</f>
        <v>20.74685</v>
      </c>
      <c r="N12" s="33" t="n">
        <f aca="false">IF(G12=0,0,M12/G12)</f>
        <v>0.0434953562967777</v>
      </c>
      <c r="O12" s="30" t="n">
        <f aca="false">IF((1-D12-Parâmetros!$B$6-Parâmetros!$B$5)&lt;=0,"",(H12+I12+E12)/(1-D12-Parâmetros!$B$6-Parâmetros!$B$5))</f>
        <v>529.496402877698</v>
      </c>
      <c r="P12" s="34" t="str">
        <f aca="false">IF(M12&lt;0,"PREJUÍZO",IF(N12&lt;Parâmetros!$B$5,"ABAIXO DO PISO","OK"))</f>
        <v>ABAIXO DO PISO</v>
      </c>
    </row>
    <row r="13" customFormat="false" ht="15" hidden="false" customHeight="false" outlineLevel="0" collapsed="false">
      <c r="A13" s="16" t="s">
        <v>81</v>
      </c>
      <c r="B13" s="16" t="s">
        <v>82</v>
      </c>
      <c r="C13" s="17" t="s">
        <v>83</v>
      </c>
      <c r="D13" s="18" t="n">
        <v>0.115</v>
      </c>
      <c r="E13" s="19" t="n">
        <v>0</v>
      </c>
      <c r="F13" s="19" t="n">
        <v>897.99</v>
      </c>
      <c r="G13" s="19" t="n">
        <v>897.99</v>
      </c>
      <c r="H13" s="19" t="n">
        <v>274</v>
      </c>
      <c r="I13" s="20" t="n">
        <v>0</v>
      </c>
      <c r="J13" s="21" t="n">
        <f aca="false">G13*D13+E13</f>
        <v>103.26885</v>
      </c>
      <c r="K13" s="22" t="n">
        <f aca="false">G13*Parâmetros!$B$6</f>
        <v>44.8995</v>
      </c>
      <c r="L13" s="21" t="n">
        <f aca="false">J13+K13</f>
        <v>148.16835</v>
      </c>
      <c r="M13" s="23" t="n">
        <f aca="false">G13-L13-H13-I13</f>
        <v>475.82165</v>
      </c>
      <c r="N13" s="24" t="n">
        <f aca="false">IF(G13=0,0,M13/G13)</f>
        <v>0.529874107729485</v>
      </c>
      <c r="O13" s="21" t="n">
        <f aca="false">IF((1-D13-Parâmetros!$B$6-Parâmetros!$B$5)&lt;=0,"",(H13+I13+E13)/(1-D13-Parâmetros!$B$6-Parâmetros!$B$5))</f>
        <v>383.216783216783</v>
      </c>
      <c r="P13" s="25" t="str">
        <f aca="false">IF(M13&lt;0,"PREJUÍZO",IF(N13&lt;Parâmetros!$B$5,"ABAIXO DO PISO","OK"))</f>
        <v>OK</v>
      </c>
    </row>
    <row r="14" customFormat="false" ht="15" hidden="false" customHeight="false" outlineLevel="0" collapsed="false">
      <c r="A14" s="26" t="s">
        <v>84</v>
      </c>
      <c r="B14" s="26" t="s">
        <v>85</v>
      </c>
      <c r="C14" s="27" t="s">
        <v>83</v>
      </c>
      <c r="D14" s="28" t="n">
        <v>0.115</v>
      </c>
      <c r="E14" s="29" t="n">
        <v>0</v>
      </c>
      <c r="F14" s="29" t="n">
        <v>1220</v>
      </c>
      <c r="G14" s="29" t="n">
        <v>890.99</v>
      </c>
      <c r="H14" s="29" t="n">
        <v>408</v>
      </c>
      <c r="I14" s="20" t="n">
        <v>0</v>
      </c>
      <c r="J14" s="30" t="n">
        <f aca="false">G14*D14+E14</f>
        <v>102.46385</v>
      </c>
      <c r="K14" s="31" t="n">
        <f aca="false">G14*Parâmetros!$B$6</f>
        <v>44.5495</v>
      </c>
      <c r="L14" s="30" t="n">
        <f aca="false">J14+K14</f>
        <v>147.01335</v>
      </c>
      <c r="M14" s="32" t="n">
        <f aca="false">G14-L14-H14-I14</f>
        <v>335.97665</v>
      </c>
      <c r="N14" s="33" t="n">
        <f aca="false">IF(G14=0,0,M14/G14)</f>
        <v>0.377082402720569</v>
      </c>
      <c r="O14" s="30" t="n">
        <f aca="false">IF((1-D14-Parâmetros!$B$6-Parâmetros!$B$5)&lt;=0,"",(H14+I14+E14)/(1-D14-Parâmetros!$B$6-Parâmetros!$B$5))</f>
        <v>570.629370629371</v>
      </c>
      <c r="P14" s="34" t="str">
        <f aca="false">IF(M14&lt;0,"PREJUÍZO",IF(N14&lt;Parâmetros!$B$5,"ABAIXO DO PISO","OK"))</f>
        <v>OK</v>
      </c>
    </row>
    <row r="15" customFormat="false" ht="15" hidden="false" customHeight="false" outlineLevel="0" collapsed="false">
      <c r="A15" s="16" t="s">
        <v>86</v>
      </c>
      <c r="B15" s="16" t="s">
        <v>87</v>
      </c>
      <c r="C15" s="17" t="s">
        <v>83</v>
      </c>
      <c r="D15" s="18" t="n">
        <v>0.115</v>
      </c>
      <c r="E15" s="19" t="n">
        <v>0</v>
      </c>
      <c r="F15" s="19" t="n">
        <v>1220</v>
      </c>
      <c r="G15" s="19" t="n">
        <v>890.99</v>
      </c>
      <c r="H15" s="19" t="n">
        <v>408</v>
      </c>
      <c r="I15" s="20" t="n">
        <v>0</v>
      </c>
      <c r="J15" s="21" t="n">
        <f aca="false">G15*D15+E15</f>
        <v>102.46385</v>
      </c>
      <c r="K15" s="22" t="n">
        <f aca="false">G15*Parâmetros!$B$6</f>
        <v>44.5495</v>
      </c>
      <c r="L15" s="21" t="n">
        <f aca="false">J15+K15</f>
        <v>147.01335</v>
      </c>
      <c r="M15" s="23" t="n">
        <f aca="false">G15-L15-H15-I15</f>
        <v>335.97665</v>
      </c>
      <c r="N15" s="24" t="n">
        <f aca="false">IF(G15=0,0,M15/G15)</f>
        <v>0.377082402720569</v>
      </c>
      <c r="O15" s="21" t="n">
        <f aca="false">IF((1-D15-Parâmetros!$B$6-Parâmetros!$B$5)&lt;=0,"",(H15+I15+E15)/(1-D15-Parâmetros!$B$6-Parâmetros!$B$5))</f>
        <v>570.629370629371</v>
      </c>
      <c r="P15" s="25" t="str">
        <f aca="false">IF(M15&lt;0,"PREJUÍZO",IF(N15&lt;Parâmetros!$B$5,"ABAIXO DO PISO","OK"))</f>
        <v>OK</v>
      </c>
    </row>
    <row r="16" customFormat="false" ht="15" hidden="false" customHeight="false" outlineLevel="0" collapsed="false">
      <c r="A16" s="26" t="s">
        <v>88</v>
      </c>
      <c r="B16" s="26" t="s">
        <v>89</v>
      </c>
      <c r="C16" s="27" t="s">
        <v>83</v>
      </c>
      <c r="D16" s="28" t="n">
        <v>0.115</v>
      </c>
      <c r="E16" s="29" t="n">
        <v>0</v>
      </c>
      <c r="F16" s="29" t="n">
        <v>922</v>
      </c>
      <c r="G16" s="29" t="n">
        <v>619.99</v>
      </c>
      <c r="H16" s="29" t="n">
        <v>288</v>
      </c>
      <c r="I16" s="20" t="n">
        <v>0</v>
      </c>
      <c r="J16" s="30" t="n">
        <f aca="false">G16*D16+E16</f>
        <v>71.29885</v>
      </c>
      <c r="K16" s="31" t="n">
        <f aca="false">G16*Parâmetros!$B$6</f>
        <v>30.9995</v>
      </c>
      <c r="L16" s="30" t="n">
        <f aca="false">J16+K16</f>
        <v>102.29835</v>
      </c>
      <c r="M16" s="32" t="n">
        <f aca="false">G16-L16-H16-I16</f>
        <v>229.69165</v>
      </c>
      <c r="N16" s="33" t="n">
        <f aca="false">IF(G16=0,0,M16/G16)</f>
        <v>0.370476378651269</v>
      </c>
      <c r="O16" s="30" t="n">
        <f aca="false">IF((1-D16-Parâmetros!$B$6-Parâmetros!$B$5)&lt;=0,"",(H16+I16+E16)/(1-D16-Parâmetros!$B$6-Parâmetros!$B$5))</f>
        <v>402.797202797203</v>
      </c>
      <c r="P16" s="34" t="str">
        <f aca="false">IF(M16&lt;0,"PREJUÍZO",IF(N16&lt;Parâmetros!$B$5,"ABAIXO DO PISO","OK"))</f>
        <v>OK</v>
      </c>
    </row>
    <row r="17" customFormat="false" ht="15" hidden="false" customHeight="false" outlineLevel="0" collapsed="false">
      <c r="A17" s="16" t="s">
        <v>90</v>
      </c>
      <c r="B17" s="16" t="s">
        <v>91</v>
      </c>
      <c r="C17" s="17" t="s">
        <v>83</v>
      </c>
      <c r="D17" s="18" t="n">
        <v>0.115</v>
      </c>
      <c r="E17" s="19" t="n">
        <v>0</v>
      </c>
      <c r="F17" s="19" t="n">
        <v>920</v>
      </c>
      <c r="G17" s="19" t="n">
        <v>619.99</v>
      </c>
      <c r="H17" s="19" t="n">
        <v>288</v>
      </c>
      <c r="I17" s="20" t="n">
        <v>0</v>
      </c>
      <c r="J17" s="21" t="n">
        <f aca="false">G17*D17+E17</f>
        <v>71.29885</v>
      </c>
      <c r="K17" s="22" t="n">
        <f aca="false">G17*Parâmetros!$B$6</f>
        <v>30.9995</v>
      </c>
      <c r="L17" s="21" t="n">
        <f aca="false">J17+K17</f>
        <v>102.29835</v>
      </c>
      <c r="M17" s="23" t="n">
        <f aca="false">G17-L17-H17-I17</f>
        <v>229.69165</v>
      </c>
      <c r="N17" s="24" t="n">
        <f aca="false">IF(G17=0,0,M17/G17)</f>
        <v>0.370476378651269</v>
      </c>
      <c r="O17" s="21" t="n">
        <f aca="false">IF((1-D17-Parâmetros!$B$6-Parâmetros!$B$5)&lt;=0,"",(H17+I17+E17)/(1-D17-Parâmetros!$B$6-Parâmetros!$B$5))</f>
        <v>402.797202797203</v>
      </c>
      <c r="P17" s="25" t="str">
        <f aca="false">IF(M17&lt;0,"PREJUÍZO",IF(N17&lt;Parâmetros!$B$5,"ABAIXO DO PISO","OK"))</f>
        <v>OK</v>
      </c>
    </row>
    <row r="18" customFormat="false" ht="15" hidden="false" customHeight="false" outlineLevel="0" collapsed="false">
      <c r="A18" s="26" t="s">
        <v>92</v>
      </c>
      <c r="B18" s="26" t="s">
        <v>93</v>
      </c>
      <c r="C18" s="27" t="s">
        <v>83</v>
      </c>
      <c r="D18" s="28" t="n">
        <v>0.115</v>
      </c>
      <c r="E18" s="29" t="n">
        <v>0</v>
      </c>
      <c r="F18" s="29" t="n">
        <v>1932.99</v>
      </c>
      <c r="G18" s="29" t="n">
        <v>1380.99</v>
      </c>
      <c r="H18" s="29" t="n">
        <v>521</v>
      </c>
      <c r="I18" s="20" t="n">
        <v>0</v>
      </c>
      <c r="J18" s="30" t="n">
        <f aca="false">G18*D18+E18</f>
        <v>158.81385</v>
      </c>
      <c r="K18" s="31" t="n">
        <f aca="false">G18*Parâmetros!$B$6</f>
        <v>69.0495</v>
      </c>
      <c r="L18" s="30" t="n">
        <f aca="false">J18+K18</f>
        <v>227.86335</v>
      </c>
      <c r="M18" s="32" t="n">
        <f aca="false">G18-L18-H18-I18</f>
        <v>632.12665</v>
      </c>
      <c r="N18" s="33" t="n">
        <f aca="false">IF(G18=0,0,M18/G18)</f>
        <v>0.457734415165932</v>
      </c>
      <c r="O18" s="30" t="n">
        <f aca="false">IF((1-D18-Parâmetros!$B$6-Parâmetros!$B$5)&lt;=0,"",(H18+I18+E18)/(1-D18-Parâmetros!$B$6-Parâmetros!$B$5))</f>
        <v>728.671328671329</v>
      </c>
      <c r="P18" s="34" t="str">
        <f aca="false">IF(M18&lt;0,"PREJUÍZO",IF(N18&lt;Parâmetros!$B$5,"ABAIXO DO PISO","OK"))</f>
        <v>OK</v>
      </c>
    </row>
    <row r="19" customFormat="false" ht="15" hidden="false" customHeight="false" outlineLevel="0" collapsed="false">
      <c r="A19" s="16" t="s">
        <v>94</v>
      </c>
      <c r="B19" s="16" t="s">
        <v>95</v>
      </c>
      <c r="C19" s="17" t="s">
        <v>83</v>
      </c>
      <c r="D19" s="18" t="n">
        <v>0.115</v>
      </c>
      <c r="E19" s="19" t="n">
        <v>0</v>
      </c>
      <c r="F19" s="19" t="n">
        <v>1932.99</v>
      </c>
      <c r="G19" s="19" t="n">
        <v>1380.99</v>
      </c>
      <c r="H19" s="19" t="n">
        <v>521</v>
      </c>
      <c r="I19" s="20" t="n">
        <v>0</v>
      </c>
      <c r="J19" s="21" t="n">
        <f aca="false">G19*D19+E19</f>
        <v>158.81385</v>
      </c>
      <c r="K19" s="22" t="n">
        <f aca="false">G19*Parâmetros!$B$6</f>
        <v>69.0495</v>
      </c>
      <c r="L19" s="21" t="n">
        <f aca="false">J19+K19</f>
        <v>227.86335</v>
      </c>
      <c r="M19" s="23" t="n">
        <f aca="false">G19-L19-H19-I19</f>
        <v>632.12665</v>
      </c>
      <c r="N19" s="24" t="n">
        <f aca="false">IF(G19=0,0,M19/G19)</f>
        <v>0.457734415165932</v>
      </c>
      <c r="O19" s="21" t="n">
        <f aca="false">IF((1-D19-Parâmetros!$B$6-Parâmetros!$B$5)&lt;=0,"",(H19+I19+E19)/(1-D19-Parâmetros!$B$6-Parâmetros!$B$5))</f>
        <v>728.671328671329</v>
      </c>
      <c r="P19" s="25" t="str">
        <f aca="false">IF(M19&lt;0,"PREJUÍZO",IF(N19&lt;Parâmetros!$B$5,"ABAIXO DO PISO","OK"))</f>
        <v>OK</v>
      </c>
    </row>
    <row r="20" customFormat="false" ht="15" hidden="false" customHeight="false" outlineLevel="0" collapsed="false">
      <c r="A20" s="26" t="s">
        <v>96</v>
      </c>
      <c r="B20" s="26" t="s">
        <v>97</v>
      </c>
      <c r="C20" s="27" t="s">
        <v>83</v>
      </c>
      <c r="D20" s="28" t="n">
        <v>0.115</v>
      </c>
      <c r="E20" s="29" t="n">
        <v>0</v>
      </c>
      <c r="F20" s="29" t="n">
        <v>1699</v>
      </c>
      <c r="G20" s="29" t="n">
        <v>1490.99</v>
      </c>
      <c r="H20" s="29" t="n">
        <v>639</v>
      </c>
      <c r="I20" s="20" t="n">
        <v>0</v>
      </c>
      <c r="J20" s="30" t="n">
        <f aca="false">G20*D20+E20</f>
        <v>171.46385</v>
      </c>
      <c r="K20" s="31" t="n">
        <f aca="false">G20*Parâmetros!$B$6</f>
        <v>74.5495</v>
      </c>
      <c r="L20" s="30" t="n">
        <f aca="false">J20+K20</f>
        <v>246.01335</v>
      </c>
      <c r="M20" s="32" t="n">
        <f aca="false">G20-L20-H20-I20</f>
        <v>605.97665</v>
      </c>
      <c r="N20" s="33" t="n">
        <f aca="false">IF(G20=0,0,M20/G20)</f>
        <v>0.406425697020101</v>
      </c>
      <c r="O20" s="30" t="n">
        <f aca="false">IF((1-D20-Parâmetros!$B$6-Parâmetros!$B$5)&lt;=0,"",(H20+I20+E20)/(1-D20-Parâmetros!$B$6-Parâmetros!$B$5))</f>
        <v>893.706293706294</v>
      </c>
      <c r="P20" s="34" t="str">
        <f aca="false">IF(M20&lt;0,"PREJUÍZO",IF(N20&lt;Parâmetros!$B$5,"ABAIXO DO PISO","OK"))</f>
        <v>OK</v>
      </c>
    </row>
    <row r="21" customFormat="false" ht="15" hidden="false" customHeight="false" outlineLevel="0" collapsed="false">
      <c r="A21" s="16" t="s">
        <v>98</v>
      </c>
      <c r="B21" s="16" t="s">
        <v>99</v>
      </c>
      <c r="C21" s="17" t="s">
        <v>83</v>
      </c>
      <c r="D21" s="18" t="n">
        <v>0.115</v>
      </c>
      <c r="E21" s="19" t="n">
        <v>0</v>
      </c>
      <c r="F21" s="19" t="n">
        <v>1699</v>
      </c>
      <c r="G21" s="19" t="n">
        <v>1490.99</v>
      </c>
      <c r="H21" s="19" t="n">
        <v>639</v>
      </c>
      <c r="I21" s="20" t="n">
        <v>0</v>
      </c>
      <c r="J21" s="21" t="n">
        <f aca="false">G21*D21+E21</f>
        <v>171.46385</v>
      </c>
      <c r="K21" s="22" t="n">
        <f aca="false">G21*Parâmetros!$B$6</f>
        <v>74.5495</v>
      </c>
      <c r="L21" s="21" t="n">
        <f aca="false">J21+K21</f>
        <v>246.01335</v>
      </c>
      <c r="M21" s="23" t="n">
        <f aca="false">G21-L21-H21-I21</f>
        <v>605.97665</v>
      </c>
      <c r="N21" s="24" t="n">
        <f aca="false">IF(G21=0,0,M21/G21)</f>
        <v>0.406425697020101</v>
      </c>
      <c r="O21" s="21" t="n">
        <f aca="false">IF((1-D21-Parâmetros!$B$6-Parâmetros!$B$5)&lt;=0,"",(H21+I21+E21)/(1-D21-Parâmetros!$B$6-Parâmetros!$B$5))</f>
        <v>893.706293706294</v>
      </c>
      <c r="P21" s="25" t="str">
        <f aca="false">IF(M21&lt;0,"PREJUÍZO",IF(N21&lt;Parâmetros!$B$5,"ABAIXO DO PISO","OK"))</f>
        <v>OK</v>
      </c>
    </row>
    <row r="22" customFormat="false" ht="15" hidden="false" customHeight="false" outlineLevel="0" collapsed="false">
      <c r="A22" s="26" t="s">
        <v>100</v>
      </c>
      <c r="B22" s="26" t="s">
        <v>101</v>
      </c>
      <c r="C22" s="27" t="s">
        <v>83</v>
      </c>
      <c r="D22" s="28" t="n">
        <v>0.105</v>
      </c>
      <c r="E22" s="29" t="n">
        <v>0</v>
      </c>
      <c r="F22" s="29" t="n">
        <v>699</v>
      </c>
      <c r="G22" s="29" t="n">
        <v>476.99</v>
      </c>
      <c r="H22" s="29" t="n">
        <v>368</v>
      </c>
      <c r="I22" s="20" t="n">
        <v>0</v>
      </c>
      <c r="J22" s="30" t="n">
        <f aca="false">G22*D22+E22</f>
        <v>50.08395</v>
      </c>
      <c r="K22" s="31" t="n">
        <f aca="false">G22*Parâmetros!$B$6</f>
        <v>23.8495</v>
      </c>
      <c r="L22" s="30" t="n">
        <f aca="false">J22+K22</f>
        <v>73.93345</v>
      </c>
      <c r="M22" s="32" t="n">
        <f aca="false">G22-L22-H22-I22</f>
        <v>35.05655</v>
      </c>
      <c r="N22" s="33" t="n">
        <f aca="false">IF(G22=0,0,M22/G22)</f>
        <v>0.0734953562967777</v>
      </c>
      <c r="O22" s="30" t="n">
        <f aca="false">IF((1-D22-Parâmetros!$B$6-Parâmetros!$B$5)&lt;=0,"",(H22+I22+E22)/(1-D22-Parâmetros!$B$6-Parâmetros!$B$5))</f>
        <v>507.586206896552</v>
      </c>
      <c r="P22" s="34" t="str">
        <f aca="false">IF(M22&lt;0,"PREJUÍZO",IF(N22&lt;Parâmetros!$B$5,"ABAIXO DO PISO","OK"))</f>
        <v>ABAIXO DO PISO</v>
      </c>
    </row>
    <row r="23" customFormat="false" ht="15" hidden="false" customHeight="false" outlineLevel="0" collapsed="false">
      <c r="A23" s="16" t="s">
        <v>102</v>
      </c>
      <c r="B23" s="16" t="s">
        <v>103</v>
      </c>
      <c r="C23" s="17" t="s">
        <v>83</v>
      </c>
      <c r="D23" s="18" t="n">
        <v>0.105</v>
      </c>
      <c r="E23" s="19" t="n">
        <v>0</v>
      </c>
      <c r="F23" s="19" t="n">
        <v>699</v>
      </c>
      <c r="G23" s="19" t="n">
        <v>476.99</v>
      </c>
      <c r="H23" s="19" t="n">
        <v>368</v>
      </c>
      <c r="I23" s="20" t="n">
        <v>0</v>
      </c>
      <c r="J23" s="21" t="n">
        <f aca="false">G23*D23+E23</f>
        <v>50.08395</v>
      </c>
      <c r="K23" s="22" t="n">
        <f aca="false">G23*Parâmetros!$B$6</f>
        <v>23.8495</v>
      </c>
      <c r="L23" s="21" t="n">
        <f aca="false">J23+K23</f>
        <v>73.93345</v>
      </c>
      <c r="M23" s="23" t="n">
        <f aca="false">G23-L23-H23-I23</f>
        <v>35.05655</v>
      </c>
      <c r="N23" s="24" t="n">
        <f aca="false">IF(G23=0,0,M23/G23)</f>
        <v>0.0734953562967777</v>
      </c>
      <c r="O23" s="21" t="n">
        <f aca="false">IF((1-D23-Parâmetros!$B$6-Parâmetros!$B$5)&lt;=0,"",(H23+I23+E23)/(1-D23-Parâmetros!$B$6-Parâmetros!$B$5))</f>
        <v>507.586206896552</v>
      </c>
      <c r="P23" s="25" t="str">
        <f aca="false">IF(M23&lt;0,"PREJUÍZO",IF(N23&lt;Parâmetros!$B$5,"ABAIXO DO PISO","OK"))</f>
        <v>ABAIXO DO PISO</v>
      </c>
    </row>
    <row r="24" customFormat="false" ht="15" hidden="false" customHeight="false" outlineLevel="0" collapsed="false">
      <c r="A24" s="26" t="s">
        <v>104</v>
      </c>
      <c r="B24" s="26" t="s">
        <v>105</v>
      </c>
      <c r="C24" s="27" t="s">
        <v>83</v>
      </c>
      <c r="D24" s="28" t="n">
        <v>0.105</v>
      </c>
      <c r="E24" s="29" t="n">
        <v>0</v>
      </c>
      <c r="F24" s="29" t="n">
        <v>547.99</v>
      </c>
      <c r="G24" s="29" t="n">
        <v>403.99</v>
      </c>
      <c r="H24" s="29" t="n">
        <v>311</v>
      </c>
      <c r="I24" s="20" t="n">
        <v>0</v>
      </c>
      <c r="J24" s="30" t="n">
        <f aca="false">G24*D24+E24</f>
        <v>42.41895</v>
      </c>
      <c r="K24" s="31" t="n">
        <f aca="false">G24*Parâmetros!$B$6</f>
        <v>20.1995</v>
      </c>
      <c r="L24" s="30" t="n">
        <f aca="false">J24+K24</f>
        <v>62.61845</v>
      </c>
      <c r="M24" s="32" t="n">
        <f aca="false">G24-L24-H24-I24</f>
        <v>30.37155</v>
      </c>
      <c r="N24" s="33" t="n">
        <f aca="false">IF(G24=0,0,M24/G24)</f>
        <v>0.0751789648258621</v>
      </c>
      <c r="O24" s="30" t="n">
        <f aca="false">IF((1-D24-Parâmetros!$B$6-Parâmetros!$B$5)&lt;=0,"",(H24+I24+E24)/(1-D24-Parâmetros!$B$6-Parâmetros!$B$5))</f>
        <v>428.965517241379</v>
      </c>
      <c r="P24" s="34" t="str">
        <f aca="false">IF(M24&lt;0,"PREJUÍZO",IF(N24&lt;Parâmetros!$B$5,"ABAIXO DO PISO","OK"))</f>
        <v>ABAIXO DO PISO</v>
      </c>
    </row>
    <row r="25" customFormat="false" ht="15" hidden="false" customHeight="false" outlineLevel="0" collapsed="false">
      <c r="A25" s="16" t="s">
        <v>106</v>
      </c>
      <c r="B25" s="16" t="s">
        <v>107</v>
      </c>
      <c r="C25" s="17" t="s">
        <v>83</v>
      </c>
      <c r="D25" s="18" t="n">
        <v>0.105</v>
      </c>
      <c r="E25" s="19" t="n">
        <v>0</v>
      </c>
      <c r="F25" s="19" t="n">
        <v>589</v>
      </c>
      <c r="G25" s="19" t="n">
        <v>403.99</v>
      </c>
      <c r="H25" s="19" t="n">
        <v>311</v>
      </c>
      <c r="I25" s="20" t="n">
        <v>0</v>
      </c>
      <c r="J25" s="21" t="n">
        <f aca="false">G25*D25+E25</f>
        <v>42.41895</v>
      </c>
      <c r="K25" s="22" t="n">
        <f aca="false">G25*Parâmetros!$B$6</f>
        <v>20.1995</v>
      </c>
      <c r="L25" s="21" t="n">
        <f aca="false">J25+K25</f>
        <v>62.61845</v>
      </c>
      <c r="M25" s="23" t="n">
        <f aca="false">G25-L25-H25-I25</f>
        <v>30.37155</v>
      </c>
      <c r="N25" s="24" t="n">
        <f aca="false">IF(G25=0,0,M25/G25)</f>
        <v>0.0751789648258621</v>
      </c>
      <c r="O25" s="21" t="n">
        <f aca="false">IF((1-D25-Parâmetros!$B$6-Parâmetros!$B$5)&lt;=0,"",(H25+I25+E25)/(1-D25-Parâmetros!$B$6-Parâmetros!$B$5))</f>
        <v>428.965517241379</v>
      </c>
      <c r="P25" s="25" t="str">
        <f aca="false">IF(M25&lt;0,"PREJUÍZO",IF(N25&lt;Parâmetros!$B$5,"ABAIXO DO PISO","OK"))</f>
        <v>ABAIXO DO PISO</v>
      </c>
    </row>
    <row r="26" customFormat="false" ht="15" hidden="false" customHeight="false" outlineLevel="0" collapsed="false">
      <c r="A26" s="26" t="s">
        <v>108</v>
      </c>
      <c r="B26" s="26" t="s">
        <v>109</v>
      </c>
      <c r="C26" s="27" t="s">
        <v>83</v>
      </c>
      <c r="D26" s="28" t="n">
        <v>0.105</v>
      </c>
      <c r="E26" s="29" t="n">
        <v>0</v>
      </c>
      <c r="F26" s="29" t="n">
        <v>473.99</v>
      </c>
      <c r="G26" s="29" t="n">
        <v>358.99</v>
      </c>
      <c r="H26" s="29" t="n">
        <v>258</v>
      </c>
      <c r="I26" s="20" t="n">
        <v>0</v>
      </c>
      <c r="J26" s="30" t="n">
        <f aca="false">G26*D26+E26</f>
        <v>37.69395</v>
      </c>
      <c r="K26" s="31" t="n">
        <f aca="false">G26*Parâmetros!$B$6</f>
        <v>17.9495</v>
      </c>
      <c r="L26" s="30" t="n">
        <f aca="false">J26+K26</f>
        <v>55.64345</v>
      </c>
      <c r="M26" s="32" t="n">
        <f aca="false">G26-L26-H26-I26</f>
        <v>45.34655</v>
      </c>
      <c r="N26" s="33" t="n">
        <f aca="false">IF(G26=0,0,M26/G26)</f>
        <v>0.12631702832948</v>
      </c>
      <c r="O26" s="30" t="n">
        <f aca="false">IF((1-D26-Parâmetros!$B$6-Parâmetros!$B$5)&lt;=0,"",(H26+I26+E26)/(1-D26-Parâmetros!$B$6-Parâmetros!$B$5))</f>
        <v>355.862068965517</v>
      </c>
      <c r="P26" s="34" t="str">
        <f aca="false">IF(M26&lt;0,"PREJUÍZO",IF(N26&lt;Parâmetros!$B$5,"ABAIXO DO PISO","OK"))</f>
        <v>OK</v>
      </c>
    </row>
    <row r="27" customFormat="false" ht="15" hidden="false" customHeight="false" outlineLevel="0" collapsed="false">
      <c r="A27" s="16" t="s">
        <v>110</v>
      </c>
      <c r="B27" s="16" t="s">
        <v>111</v>
      </c>
      <c r="C27" s="17" t="s">
        <v>83</v>
      </c>
      <c r="D27" s="18" t="n">
        <v>0.105</v>
      </c>
      <c r="E27" s="19" t="n">
        <v>0</v>
      </c>
      <c r="F27" s="19" t="n">
        <v>529</v>
      </c>
      <c r="G27" s="19" t="n">
        <v>358.99</v>
      </c>
      <c r="H27" s="19" t="n">
        <v>258</v>
      </c>
      <c r="I27" s="20" t="n">
        <v>0</v>
      </c>
      <c r="J27" s="21" t="n">
        <f aca="false">G27*D27+E27</f>
        <v>37.69395</v>
      </c>
      <c r="K27" s="22" t="n">
        <f aca="false">G27*Parâmetros!$B$6</f>
        <v>17.9495</v>
      </c>
      <c r="L27" s="21" t="n">
        <f aca="false">J27+K27</f>
        <v>55.64345</v>
      </c>
      <c r="M27" s="23" t="n">
        <f aca="false">G27-L27-H27-I27</f>
        <v>45.34655</v>
      </c>
      <c r="N27" s="24" t="n">
        <f aca="false">IF(G27=0,0,M27/G27)</f>
        <v>0.12631702832948</v>
      </c>
      <c r="O27" s="21" t="n">
        <f aca="false">IF((1-D27-Parâmetros!$B$6-Parâmetros!$B$5)&lt;=0,"",(H27+I27+E27)/(1-D27-Parâmetros!$B$6-Parâmetros!$B$5))</f>
        <v>355.862068965517</v>
      </c>
      <c r="P27" s="25" t="str">
        <f aca="false">IF(M27&lt;0,"PREJUÍZO",IF(N27&lt;Parâmetros!$B$5,"ABAIXO DO PISO","OK"))</f>
        <v>OK</v>
      </c>
    </row>
    <row r="28" customFormat="false" ht="15" hidden="false" customHeight="false" outlineLevel="0" collapsed="false">
      <c r="A28" s="26" t="s">
        <v>112</v>
      </c>
      <c r="B28" s="26" t="s">
        <v>113</v>
      </c>
      <c r="C28" s="27" t="s">
        <v>83</v>
      </c>
      <c r="D28" s="28" t="n">
        <v>0.105</v>
      </c>
      <c r="E28" s="29" t="n">
        <v>0</v>
      </c>
      <c r="F28" s="29" t="n">
        <v>429</v>
      </c>
      <c r="G28" s="29" t="n">
        <v>280.99</v>
      </c>
      <c r="H28" s="29" t="n">
        <v>198</v>
      </c>
      <c r="I28" s="20" t="n">
        <v>0</v>
      </c>
      <c r="J28" s="30" t="n">
        <f aca="false">G28*D28+E28</f>
        <v>29.50395</v>
      </c>
      <c r="K28" s="31" t="n">
        <f aca="false">G28*Parâmetros!$B$6</f>
        <v>14.0495</v>
      </c>
      <c r="L28" s="30" t="n">
        <f aca="false">J28+K28</f>
        <v>43.55345</v>
      </c>
      <c r="M28" s="32" t="n">
        <f aca="false">G28-L28-H28-I28</f>
        <v>39.43655</v>
      </c>
      <c r="N28" s="33" t="n">
        <f aca="false">IF(G28=0,0,M28/G28)</f>
        <v>0.140348588917755</v>
      </c>
      <c r="O28" s="30" t="n">
        <f aca="false">IF((1-D28-Parâmetros!$B$6-Parâmetros!$B$5)&lt;=0,"",(H28+I28+E28)/(1-D28-Parâmetros!$B$6-Parâmetros!$B$5))</f>
        <v>273.103448275862</v>
      </c>
      <c r="P28" s="34" t="str">
        <f aca="false">IF(M28&lt;0,"PREJUÍZO",IF(N28&lt;Parâmetros!$B$5,"ABAIXO DO PISO","OK"))</f>
        <v>OK</v>
      </c>
    </row>
    <row r="29" customFormat="false" ht="15" hidden="false" customHeight="false" outlineLevel="0" collapsed="false">
      <c r="A29" s="16" t="s">
        <v>114</v>
      </c>
      <c r="B29" s="16" t="s">
        <v>115</v>
      </c>
      <c r="C29" s="17" t="s">
        <v>83</v>
      </c>
      <c r="D29" s="18" t="n">
        <v>0.105</v>
      </c>
      <c r="E29" s="19" t="n">
        <v>0</v>
      </c>
      <c r="F29" s="19" t="n">
        <v>429</v>
      </c>
      <c r="G29" s="19" t="n">
        <v>346.99</v>
      </c>
      <c r="H29" s="19" t="n">
        <v>198</v>
      </c>
      <c r="I29" s="20" t="n">
        <v>0</v>
      </c>
      <c r="J29" s="21" t="n">
        <f aca="false">G29*D29+E29</f>
        <v>36.43395</v>
      </c>
      <c r="K29" s="22" t="n">
        <f aca="false">G29*Parâmetros!$B$6</f>
        <v>17.3495</v>
      </c>
      <c r="L29" s="21" t="n">
        <f aca="false">J29+K29</f>
        <v>53.78345</v>
      </c>
      <c r="M29" s="23" t="n">
        <f aca="false">G29-L29-H29-I29</f>
        <v>95.20655</v>
      </c>
      <c r="N29" s="24" t="n">
        <f aca="false">IF(G29=0,0,M29/G29)</f>
        <v>0.274378368252687</v>
      </c>
      <c r="O29" s="21" t="n">
        <f aca="false">IF((1-D29-Parâmetros!$B$6-Parâmetros!$B$5)&lt;=0,"",(H29+I29+E29)/(1-D29-Parâmetros!$B$6-Parâmetros!$B$5))</f>
        <v>273.103448275862</v>
      </c>
      <c r="P29" s="25" t="str">
        <f aca="false">IF(M29&lt;0,"PREJUÍZO",IF(N29&lt;Parâmetros!$B$5,"ABAIXO DO PISO","OK"))</f>
        <v>OK</v>
      </c>
    </row>
    <row r="30" customFormat="false" ht="15" hidden="false" customHeight="false" outlineLevel="0" collapsed="false">
      <c r="A30" s="26" t="s">
        <v>116</v>
      </c>
      <c r="B30" s="26" t="s">
        <v>117</v>
      </c>
      <c r="C30" s="27" t="s">
        <v>83</v>
      </c>
      <c r="D30" s="28" t="n">
        <v>0.105</v>
      </c>
      <c r="E30" s="29" t="n">
        <v>0</v>
      </c>
      <c r="F30" s="29" t="n">
        <v>358.99</v>
      </c>
      <c r="G30" s="29" t="n">
        <v>298.99</v>
      </c>
      <c r="H30" s="29" t="n">
        <v>148.6</v>
      </c>
      <c r="I30" s="20" t="n">
        <v>0</v>
      </c>
      <c r="J30" s="30" t="n">
        <f aca="false">G30*D30+E30</f>
        <v>31.39395</v>
      </c>
      <c r="K30" s="31" t="n">
        <f aca="false">G30*Parâmetros!$B$6</f>
        <v>14.9495</v>
      </c>
      <c r="L30" s="30" t="n">
        <f aca="false">J30+K30</f>
        <v>46.34345</v>
      </c>
      <c r="M30" s="32" t="n">
        <f aca="false">G30-L30-H30-I30</f>
        <v>104.04655</v>
      </c>
      <c r="N30" s="33" t="n">
        <f aca="false">IF(G30=0,0,M30/G30)</f>
        <v>0.347993411150875</v>
      </c>
      <c r="O30" s="30" t="n">
        <f aca="false">IF((1-D30-Parâmetros!$B$6-Parâmetros!$B$5)&lt;=0,"",(H30+I30+E30)/(1-D30-Parâmetros!$B$6-Parâmetros!$B$5))</f>
        <v>204.965517241379</v>
      </c>
      <c r="P30" s="34" t="str">
        <f aca="false">IF(M30&lt;0,"PREJUÍZO",IF(N30&lt;Parâmetros!$B$5,"ABAIXO DO PISO","OK"))</f>
        <v>OK</v>
      </c>
    </row>
    <row r="31" customFormat="false" ht="15" hidden="false" customHeight="false" outlineLevel="0" collapsed="false">
      <c r="A31" s="16" t="s">
        <v>118</v>
      </c>
      <c r="B31" s="16" t="s">
        <v>119</v>
      </c>
      <c r="C31" s="17" t="s">
        <v>83</v>
      </c>
      <c r="D31" s="18" t="n">
        <v>0.105</v>
      </c>
      <c r="E31" s="19" t="n">
        <v>0</v>
      </c>
      <c r="F31" s="19" t="n">
        <v>344.9</v>
      </c>
      <c r="G31" s="19" t="n">
        <v>245.99</v>
      </c>
      <c r="H31" s="19" t="n">
        <v>117.4</v>
      </c>
      <c r="I31" s="20" t="n">
        <v>0</v>
      </c>
      <c r="J31" s="21" t="n">
        <f aca="false">G31*D31+E31</f>
        <v>25.82895</v>
      </c>
      <c r="K31" s="22" t="n">
        <f aca="false">G31*Parâmetros!$B$6</f>
        <v>12.2995</v>
      </c>
      <c r="L31" s="21" t="n">
        <f aca="false">J31+K31</f>
        <v>38.12845</v>
      </c>
      <c r="M31" s="23" t="n">
        <f aca="false">G31-L31-H31-I31</f>
        <v>90.46155</v>
      </c>
      <c r="N31" s="24" t="n">
        <f aca="false">IF(G31=0,0,M31/G31)</f>
        <v>0.367744827025489</v>
      </c>
      <c r="O31" s="21" t="n">
        <f aca="false">IF((1-D31-Parâmetros!$B$6-Parâmetros!$B$5)&lt;=0,"",(H31+I31+E31)/(1-D31-Parâmetros!$B$6-Parâmetros!$B$5))</f>
        <v>161.931034482759</v>
      </c>
      <c r="P31" s="25" t="str">
        <f aca="false">IF(M31&lt;0,"PREJUÍZO",IF(N31&lt;Parâmetros!$B$5,"ABAIXO DO PISO","OK"))</f>
        <v>OK</v>
      </c>
    </row>
    <row r="32" customFormat="false" ht="15" hidden="false" customHeight="false" outlineLevel="0" collapsed="false">
      <c r="A32" s="26" t="s">
        <v>120</v>
      </c>
      <c r="B32" s="26" t="s">
        <v>121</v>
      </c>
      <c r="C32" s="27" t="s">
        <v>83</v>
      </c>
      <c r="D32" s="28" t="n">
        <v>0.105</v>
      </c>
      <c r="E32" s="29" t="n">
        <v>0</v>
      </c>
      <c r="F32" s="29" t="n">
        <v>344.9</v>
      </c>
      <c r="G32" s="29" t="n">
        <v>245.99</v>
      </c>
      <c r="H32" s="29" t="n">
        <v>117.4</v>
      </c>
      <c r="I32" s="20" t="n">
        <v>0</v>
      </c>
      <c r="J32" s="30" t="n">
        <f aca="false">G32*D32+E32</f>
        <v>25.82895</v>
      </c>
      <c r="K32" s="31" t="n">
        <f aca="false">G32*Parâmetros!$B$6</f>
        <v>12.2995</v>
      </c>
      <c r="L32" s="30" t="n">
        <f aca="false">J32+K32</f>
        <v>38.12845</v>
      </c>
      <c r="M32" s="32" t="n">
        <f aca="false">G32-L32-H32-I32</f>
        <v>90.46155</v>
      </c>
      <c r="N32" s="33" t="n">
        <f aca="false">IF(G32=0,0,M32/G32)</f>
        <v>0.367744827025489</v>
      </c>
      <c r="O32" s="30" t="n">
        <f aca="false">IF((1-D32-Parâmetros!$B$6-Parâmetros!$B$5)&lt;=0,"",(H32+I32+E32)/(1-D32-Parâmetros!$B$6-Parâmetros!$B$5))</f>
        <v>161.931034482759</v>
      </c>
      <c r="P32" s="34" t="str">
        <f aca="false">IF(M32&lt;0,"PREJUÍZO",IF(N32&lt;Parâmetros!$B$5,"ABAIXO DO PISO","OK"))</f>
        <v>OK</v>
      </c>
    </row>
    <row r="33" customFormat="false" ht="15" hidden="false" customHeight="false" outlineLevel="0" collapsed="false">
      <c r="B33" s="7" t="s">
        <v>122</v>
      </c>
      <c r="J33" s="35" t="n">
        <f aca="false">SUM(J5:J32)</f>
        <v>2459.9161</v>
      </c>
      <c r="K33" s="35" t="n">
        <f aca="false">SUM(K5:K32)</f>
        <v>977.286</v>
      </c>
      <c r="L33" s="35" t="n">
        <f aca="false">SUM(L5:L32)</f>
        <v>3437.2021</v>
      </c>
      <c r="M33" s="35" t="n">
        <f aca="false">SUM(M5:M32)</f>
        <v>6478.1179</v>
      </c>
      <c r="N33" s="36" t="n">
        <f aca="false">IF(SUM(G5:G32)=0,0,SUM(M5:M32)/SUM(G5:G32))</f>
        <v>0.331434088895165</v>
      </c>
    </row>
    <row r="35" customFormat="false" ht="15" hidden="false" customHeight="false" outlineLevel="0" collapsed="false">
      <c r="B35" s="7" t="s">
        <v>123</v>
      </c>
    </row>
    <row r="36" customFormat="false" ht="15" hidden="false" customHeight="false" outlineLevel="0" collapsed="false">
      <c r="B36" s="37" t="s">
        <v>124</v>
      </c>
      <c r="C36" s="2" t="s">
        <v>125</v>
      </c>
    </row>
    <row r="37" customFormat="false" ht="15" hidden="false" customHeight="false" outlineLevel="0" collapsed="false">
      <c r="B37" s="38" t="s">
        <v>126</v>
      </c>
      <c r="C37" s="2" t="s">
        <v>127</v>
      </c>
    </row>
    <row r="38" customFormat="false" ht="15" hidden="false" customHeight="false" outlineLevel="0" collapsed="false">
      <c r="B38" s="4" t="s">
        <v>128</v>
      </c>
      <c r="C38" s="2" t="s">
        <v>129</v>
      </c>
    </row>
    <row r="39" customFormat="false" ht="15" hidden="false" customHeight="false" outlineLevel="0" collapsed="false">
      <c r="B39" s="8" t="s">
        <v>130</v>
      </c>
      <c r="C39" s="2" t="s">
        <v>131</v>
      </c>
    </row>
  </sheetData>
  <autoFilter ref="A4:P32"/>
  <conditionalFormatting sqref="P5:P32">
    <cfRule type="cellIs" priority="2" operator="equal" aboveAverage="0" equalAverage="0" bottom="0" percent="0" rank="0" text="" dxfId="9">
      <formula>"OK"</formula>
    </cfRule>
    <cfRule type="cellIs" priority="3" operator="notEqual" aboveAverage="0" equalAverage="0" bottom="0" percent="0" rank="0" text="" dxfId="10">
      <formula>"OK"</formula>
    </cfRule>
  </conditionalFormatting>
  <conditionalFormatting sqref="N5:N32">
    <cfRule type="cellIs" priority="4" operator="lessThan" aboveAverage="0" equalAverage="0" bottom="0" percent="0" rank="0" text="" dxfId="10">
      <formula>Parâmetros!$B$5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7" t="s">
        <v>134</v>
      </c>
      <c r="B4" s="39" t="n">
        <v>16</v>
      </c>
    </row>
    <row r="6" customFormat="false" ht="15" hidden="false" customHeight="false" outlineLevel="0" collapsed="false">
      <c r="A6" s="4" t="s">
        <v>11</v>
      </c>
      <c r="B6" s="8" t="str">
        <f aca="false">INDEX(Precificação!B:B,$B$4)</f>
        <v>Toldo 155x100 Madeira Bronze</v>
      </c>
    </row>
    <row r="7" customFormat="false" ht="15" hidden="false" customHeight="false" outlineLevel="0" collapsed="false">
      <c r="A7" s="4" t="s">
        <v>135</v>
      </c>
      <c r="B7" s="9" t="n">
        <f aca="false">INDEX(Precificação!G:G,$B$4)</f>
        <v>619.99</v>
      </c>
    </row>
    <row r="8" customFormat="false" ht="15" hidden="false" customHeight="false" outlineLevel="0" collapsed="false">
      <c r="A8" s="4" t="s">
        <v>136</v>
      </c>
      <c r="B8" s="10" t="n">
        <f aca="false">INDEX(Precificação!D:D,$B$4)</f>
        <v>0.115</v>
      </c>
    </row>
    <row r="9" customFormat="false" ht="15" hidden="false" customHeight="false" outlineLevel="0" collapsed="false">
      <c r="A9" s="4" t="s">
        <v>30</v>
      </c>
      <c r="B9" s="10" t="n">
        <f aca="false">Parâmetros!$B$6</f>
        <v>0.05</v>
      </c>
    </row>
    <row r="10" customFormat="false" ht="15" hidden="false" customHeight="false" outlineLevel="0" collapsed="false">
      <c r="A10" s="4" t="s">
        <v>137</v>
      </c>
      <c r="B10" s="9" t="n">
        <f aca="false">INDEX(Precificação!H:H,$B$4)</f>
        <v>288</v>
      </c>
    </row>
    <row r="11" customFormat="false" ht="15" hidden="false" customHeight="false" outlineLevel="0" collapsed="false">
      <c r="A11" s="4" t="s">
        <v>138</v>
      </c>
      <c r="B11" s="9" t="n">
        <f aca="false">INDEX(Precificação!I:I,$B$4)</f>
        <v>0</v>
      </c>
    </row>
    <row r="13" customFormat="false" ht="15" hidden="false" customHeight="false" outlineLevel="0" collapsed="false">
      <c r="A13" s="7" t="s">
        <v>139</v>
      </c>
    </row>
    <row r="14" customFormat="false" ht="15" hidden="false" customHeight="false" outlineLevel="0" collapsed="false">
      <c r="A14" s="4" t="s">
        <v>140</v>
      </c>
      <c r="B14" s="40" t="n">
        <f aca="false">B7*B8</f>
        <v>71.29885</v>
      </c>
      <c r="C14" s="2" t="s">
        <v>141</v>
      </c>
    </row>
    <row r="15" customFormat="false" ht="15" hidden="false" customHeight="false" outlineLevel="0" collapsed="false">
      <c r="A15" s="4" t="s">
        <v>142</v>
      </c>
      <c r="B15" s="40" t="n">
        <f aca="false">B7*B9</f>
        <v>30.9995</v>
      </c>
      <c r="C15" s="2" t="s">
        <v>143</v>
      </c>
    </row>
    <row r="16" customFormat="false" ht="15" hidden="false" customHeight="false" outlineLevel="0" collapsed="false">
      <c r="A16" s="4" t="s">
        <v>144</v>
      </c>
      <c r="B16" s="40" t="n">
        <f aca="false">B10</f>
        <v>288</v>
      </c>
      <c r="C16" s="2" t="s">
        <v>145</v>
      </c>
    </row>
    <row r="17" customFormat="false" ht="15" hidden="false" customHeight="false" outlineLevel="0" collapsed="false">
      <c r="A17" s="4" t="s">
        <v>146</v>
      </c>
      <c r="B17" s="40" t="n">
        <f aca="false">B11</f>
        <v>0</v>
      </c>
      <c r="C17" s="2" t="s">
        <v>147</v>
      </c>
    </row>
    <row r="18" customFormat="false" ht="15" hidden="false" customHeight="false" outlineLevel="0" collapsed="false">
      <c r="A18" s="4" t="s">
        <v>148</v>
      </c>
      <c r="B18" s="41" t="n">
        <f aca="false">B7-B14-B15-B16-B17</f>
        <v>229.69165</v>
      </c>
      <c r="C18" s="2" t="s">
        <v>149</v>
      </c>
    </row>
    <row r="19" customFormat="false" ht="15" hidden="false" customHeight="false" outlineLevel="0" collapsed="false">
      <c r="A19" s="4" t="s">
        <v>150</v>
      </c>
      <c r="B19" s="6" t="n">
        <f aca="false">IF(B7=0,0,B18/B7)</f>
        <v>0.370476378651269</v>
      </c>
      <c r="C19" s="2" t="s">
        <v>151</v>
      </c>
    </row>
    <row r="20" customFormat="false" ht="15" hidden="false" customHeight="false" outlineLevel="0" collapsed="false">
      <c r="A20" s="7" t="s">
        <v>152</v>
      </c>
      <c r="B20" s="7" t="str">
        <f aca="false">IF(ABS(B18-INDEX(Precificação!$M$5:$M$32,$B$4-4))&lt;0.01,"sim, confere","DIVERGE - me avise")</f>
        <v>sim, confere</v>
      </c>
    </row>
    <row r="22" customFormat="false" ht="15" hidden="false" customHeight="false" outlineLevel="0" collapsed="false">
      <c r="A22" s="7" t="s">
        <v>153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14" t="s">
        <v>154</v>
      </c>
    </row>
    <row r="25" customFormat="false" ht="15" hidden="false" customHeight="false" outlineLevel="0" collapsed="false">
      <c r="A25" s="14" t="s">
        <v>155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156</v>
      </c>
    </row>
    <row r="28" customFormat="false" ht="15" hidden="false" customHeight="false" outlineLevel="0" collapsed="false">
      <c r="A28" s="2" t="s">
        <v>157</v>
      </c>
    </row>
    <row r="29" customFormat="false" ht="15" hidden="false" customHeight="false" outlineLevel="0" collapsed="false">
      <c r="A29" s="2" t="s">
        <v>158</v>
      </c>
    </row>
    <row r="30" customFormat="false" ht="15" hidden="false" customHeight="false" outlineLevel="0" collapsed="false">
      <c r="A30" s="2" t="s">
        <v>159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160</v>
      </c>
    </row>
    <row r="33" customFormat="false" ht="15" hidden="false" customHeight="false" outlineLevel="0" collapsed="false">
      <c r="A33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2026-08-27T02:55:27Z</dcterms:created>
  <dc:creator>openpyxl</dc:creator>
  <dc:description/>
  <dc:language>en-US</dc:language>
  <cp:lastModifiedBy/>
  <dcterms:modified xsi:type="dcterms:W3CDTF">2026-08-27T02:55:27Z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